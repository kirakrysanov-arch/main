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Schedule" sheetId="3" state="visible" r:id="rId5"/>
    <sheet name="Standings" sheetId="4" state="visible" r:id="rId6"/>
    <sheet name="Results Grid" sheetId="5" state="visible" r:id="rId7"/>
    <sheet name="Ladder" sheetId="6" state="visible" r:id="rId8"/>
    <sheet name="Challenges" sheetId="7" state="visible" r:id="rId9"/>
    <sheet name="Engine" sheetId="8" state="hidden" r:id="rId10"/>
  </sheets>
  <definedNames>
    <definedName function="false" hidden="false" localSheetId="5" name="_xlnm.Print_Area" vbProcedure="false">Ladder!$B$2:$I$26</definedName>
    <definedName function="false" hidden="false" localSheetId="2" name="_xlnm.Print_Area" vbProcedure="false">Schedule!$B$2:$H$125</definedName>
    <definedName function="false" hidden="false" localSheetId="2" name="_xlnm.Print_Titles" vbProcedure="false">Schedule!$5:$5</definedName>
    <definedName function="false" hidden="false" localSheetId="3" name="_xlnm.Print_Area" vbProcedure="false">Standings!$B$2:$K$22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<sst xmlns="http://schemas.openxmlformats.org/spreadsheetml/2006/main" count="122" uniqueCount="107">
  <si>
    <t xml:space="preserve">Round Robin &amp; Ladder Organizer</t>
  </si>
  <si>
    <t xml:space="preserve">START HERE</t>
  </si>
  <si>
    <t xml:space="preserve">Cream cells</t>
  </si>
  <si>
    <t xml:space="preserve">Yours to fill in. Type, or pick from the drop-down lists.</t>
  </si>
  <si>
    <t xml:space="preserve">Beige cells</t>
  </si>
  <si>
    <t xml:space="preserve">Calculate by themselves. Please don't type over them.</t>
  </si>
  <si>
    <t xml:space="preserve">1 · Setup</t>
  </si>
  <si>
    <t xml:space="preserve">Name your event, set the number of courts and the points for a win or tie, then list up to 16 players or doubles teams from the top, with no gaps.</t>
  </si>
  <si>
    <t xml:space="preserve">2 · Schedule</t>
  </si>
  <si>
    <t xml:space="preserve">The full schedule appears instantly: every player meets every other player once, with court numbers. With an odd number of players, one player rests (a bye) each round.</t>
  </si>
  <si>
    <t xml:space="preserve">3 · Enter scores</t>
  </si>
  <si>
    <t xml:space="preserve">Type the games won by each side, for example 6 and 4. The winner fills in by itself.</t>
  </si>
  <si>
    <t xml:space="preserve">4 · Standings</t>
  </si>
  <si>
    <t xml:space="preserve">Ranked by points, then game difference, then games won. The Results Grid shows every score at a glance.</t>
  </si>
  <si>
    <t xml:space="preserve">Ladder</t>
  </si>
  <si>
    <t xml:space="preserve">For a season-long challenge ladder: list up to 20 players in starting order on the Ladder tab, then log each challenge on the Challenges tab. A challenger who beats a higher-ranked player takes their place, and everyone in between moves down one.</t>
  </si>
  <si>
    <t xml:space="preserve">Sample data</t>
  </si>
  <si>
    <t xml:space="preserve">The sample players and scores show how everything works. Before your event, clear the cream cells on Setup, the score columns on Schedule, and the Ladder and Challenges tabs.</t>
  </si>
  <si>
    <t xml:space="preserve">Changing players</t>
  </si>
  <si>
    <t xml:space="preserve">If you change the player list after scores are entered, clear the score columns first: the schedule is rebuilt for the new list.</t>
  </si>
  <si>
    <t xml:space="preserve">Google Sheets</t>
  </si>
  <si>
    <t xml:space="preserve">Upload this file to Google Drive, open it, then choose File › Save as Google Sheets. It also works in Microsoft Excel and Apple Numbers.</t>
  </si>
  <si>
    <t xml:space="preserve">Printing</t>
  </si>
  <si>
    <t xml:space="preserve">Each tab is set up to print on one page width. Print the Schedule for the noticeboard, or use the blank Draw Sheets PDF.</t>
  </si>
  <si>
    <t xml:space="preserve">For personal and single-club use. Thank you for supporting a small studio.</t>
  </si>
  <si>
    <t xml:space="preserve">Setup</t>
  </si>
  <si>
    <t xml:space="preserve">EVENT DETAILS AND PLAYERS</t>
  </si>
  <si>
    <t xml:space="preserve">Event name</t>
  </si>
  <si>
    <t xml:space="preserve">Saturday Social Round Robin</t>
  </si>
  <si>
    <t xml:space="preserve">Format</t>
  </si>
  <si>
    <t xml:space="preserve">Singles</t>
  </si>
  <si>
    <t xml:space="preserve">Courts available</t>
  </si>
  <si>
    <t xml:space="preserve">Matches beyond the number of courts show “Next free”.</t>
  </si>
  <si>
    <t xml:space="preserve">Points for a win</t>
  </si>
  <si>
    <t xml:space="preserve">Points for a tie</t>
  </si>
  <si>
    <t xml:space="preserve">Match format (note)</t>
  </si>
  <si>
    <t xml:space="preserve">One set, first to 6 games</t>
  </si>
  <si>
    <t xml:space="preserve">Players entered</t>
  </si>
  <si>
    <t xml:space="preserve">Enter at least 3. The schedule supports up to 16.</t>
  </si>
  <si>
    <t xml:space="preserve">Rounds</t>
  </si>
  <si>
    <t xml:space="preserve">Every player meets every other player once.</t>
  </si>
  <si>
    <t xml:space="preserve">No.</t>
  </si>
  <si>
    <t xml:space="preserve">Player or doubles team</t>
  </si>
  <si>
    <t xml:space="preserve">Anna</t>
  </si>
  <si>
    <t xml:space="preserve">For doubles, enter each team as one line, e.g. “Anna &amp; Ben”.</t>
  </si>
  <si>
    <t xml:space="preserve">Ben</t>
  </si>
  <si>
    <t xml:space="preserve">Carla</t>
  </si>
  <si>
    <t xml:space="preserve">David</t>
  </si>
  <si>
    <t xml:space="preserve">Elena</t>
  </si>
  <si>
    <t xml:space="preserve">Felix</t>
  </si>
  <si>
    <t xml:space="preserve">Grace</t>
  </si>
  <si>
    <t xml:space="preserve">Schedule</t>
  </si>
  <si>
    <t xml:space="preserve">CREATED AUTOMATICALLY · ENTER GAMES WON IN THE CREAM CELLS</t>
  </si>
  <si>
    <t xml:space="preserve">Round</t>
  </si>
  <si>
    <t xml:space="preserve">Court</t>
  </si>
  <si>
    <t xml:space="preserve">Player / team A</t>
  </si>
  <si>
    <t xml:space="preserve">Games A</t>
  </si>
  <si>
    <t xml:space="preserve">Games B</t>
  </si>
  <si>
    <t xml:space="preserve">Player / team B</t>
  </si>
  <si>
    <t xml:space="preserve">Winner</t>
  </si>
  <si>
    <t xml:space="preserve">Standings</t>
  </si>
  <si>
    <t xml:space="preserve">POINTS, THEN GAME DIFFERENCE, THEN GAMES WON</t>
  </si>
  <si>
    <t xml:space="preserve">Pos</t>
  </si>
  <si>
    <t xml:space="preserve">Player / team</t>
  </si>
  <si>
    <t xml:space="preserve">Played</t>
  </si>
  <si>
    <t xml:space="preserve">Won</t>
  </si>
  <si>
    <t xml:space="preserve">Tied</t>
  </si>
  <si>
    <t xml:space="preserve">Lost</t>
  </si>
  <si>
    <t xml:space="preserve">Games for</t>
  </si>
  <si>
    <t xml:space="preserve">Games against</t>
  </si>
  <si>
    <t xml:space="preserve">Game diff</t>
  </si>
  <si>
    <t xml:space="preserve">Points</t>
  </si>
  <si>
    <t xml:space="preserve">Results Grid</t>
  </si>
  <si>
    <t xml:space="preserve">READ ACROSS: THE ROW PLAYER'S GAMES FIRST</t>
  </si>
  <si>
    <t xml:space="preserve">vs</t>
  </si>
  <si>
    <t xml:space="preserve">Challenge Ladder</t>
  </si>
  <si>
    <t xml:space="preserve">STARTING ORDER ON THE LEFT · LIVE LADDER ON THE RIGHT</t>
  </si>
  <si>
    <t xml:space="preserve">Start</t>
  </si>
  <si>
    <t xml:space="preserve">Player (starting order)</t>
  </si>
  <si>
    <t xml:space="preserve">Rank</t>
  </si>
  <si>
    <t xml:space="preserve">Player</t>
  </si>
  <si>
    <t xml:space="preserve">Challenges won</t>
  </si>
  <si>
    <t xml:space="preserve">Challenges lost</t>
  </si>
  <si>
    <t xml:space="preserve">Moved</t>
  </si>
  <si>
    <t xml:space="preserve">Olivia</t>
  </si>
  <si>
    <t xml:space="preserve">Marcus</t>
  </si>
  <si>
    <t xml:space="preserve">Priya</t>
  </si>
  <si>
    <t xml:space="preserve">Tom</t>
  </si>
  <si>
    <t xml:space="preserve">Sofia</t>
  </si>
  <si>
    <t xml:space="preserve">Jonas</t>
  </si>
  <si>
    <t xml:space="preserve">Leah</t>
  </si>
  <si>
    <t xml:space="preserve">Mateo</t>
  </si>
  <si>
    <t xml:space="preserve">Nina</t>
  </si>
  <si>
    <t xml:space="preserve">Oscar</t>
  </si>
  <si>
    <t xml:space="preserve">List players from the top with no gaps. Names must match exactly on the Challenges tab.</t>
  </si>
  <si>
    <t xml:space="preserve">Challenges</t>
  </si>
  <si>
    <t xml:space="preserve">LOG EACH LADDER CHALLENGE IN ORDER</t>
  </si>
  <si>
    <t xml:space="preserve">Date</t>
  </si>
  <si>
    <t xml:space="preserve">Challenger</t>
  </si>
  <si>
    <t xml:space="preserve">Defender</t>
  </si>
  <si>
    <t xml:space="preserve">Score</t>
  </si>
  <si>
    <t xml:space="preserve">What happened</t>
  </si>
  <si>
    <t xml:space="preserve">6-4 6-3</t>
  </si>
  <si>
    <t xml:space="preserve">4-6 6-7</t>
  </si>
  <si>
    <t xml:space="preserve">7-5 6-4</t>
  </si>
  <si>
    <t xml:space="preserve">6-7 6-3 10-8</t>
  </si>
  <si>
    <t xml:space="preserve">Ladder positions after each challenge. Calculated automatically; please don't edit.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</si>
</sst>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"/>
    <numFmt numFmtId="167" formatCode="General"/>
    <numFmt numFmtId="168" formatCode="\+0;\-0;0"/>
    <numFmt numFmtId="169" formatCode="\▲0;\▼0;\–"/>
    <numFmt numFmtId="170" formatCode="d\ mmm\ yyyy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B2B4B"/>
      <name val="Georgia"/>
      <family val="0"/>
      <charset val="1"/>
    </font>
    <font>
      <b val="true"/>
      <sz val="9"/>
      <color rgb="FFC2412D"/>
      <name val="Arial"/>
      <family val="0"/>
      <charset val="1"/>
    </font>
    <font>
      <b val="true"/>
      <sz val="12"/>
      <color rgb="FF1F6B3B"/>
      <name val="Georgia"/>
      <family val="0"/>
      <charset val="1"/>
    </font>
    <font>
      <sz val="10"/>
      <color rgb="FF1B2B4B"/>
      <name val="Arial"/>
      <family val="0"/>
      <charset val="1"/>
    </font>
    <font>
      <i val="true"/>
      <sz val="9"/>
      <color rgb="FF8C8068"/>
      <name val="Arial"/>
      <family val="0"/>
      <charset val="1"/>
    </font>
    <font>
      <b val="true"/>
      <sz val="10"/>
      <color rgb="FF1B2B4B"/>
      <name val="Arial"/>
      <family val="0"/>
      <charset val="1"/>
    </font>
    <font>
      <b val="true"/>
      <sz val="10"/>
      <color rgb="FF1F6B3B"/>
      <name val="Arial"/>
      <family val="0"/>
      <charset val="1"/>
    </font>
    <font>
      <b val="true"/>
      <sz val="9"/>
      <color rgb="FFF6EDD9"/>
      <name val="Arial"/>
      <family val="0"/>
      <charset val="1"/>
    </font>
    <font>
      <b val="true"/>
      <sz val="10"/>
      <color rgb="FFF6EDD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BF5E8"/>
        <bgColor rgb="FFF6EDD9"/>
      </patternFill>
    </fill>
    <fill>
      <patternFill patternType="solid">
        <fgColor rgb="FFEBDDBC"/>
        <bgColor rgb="FFF3E9D2"/>
      </patternFill>
    </fill>
    <fill>
      <patternFill patternType="solid">
        <fgColor rgb="FF1F6B3B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2412D"/>
      </bottom>
      <diagonal/>
    </border>
    <border diagonalUp="false" diagonalDown="false">
      <left style="thin">
        <color rgb="FFD8C9A5"/>
      </left>
      <right style="thin">
        <color rgb="FFD8C9A5"/>
      </right>
      <top style="thin">
        <color rgb="FFD8C9A5"/>
      </top>
      <bottom style="thin">
        <color rgb="FFD8C9A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i val="1"/>
        <color rgb="FF8C8068"/>
      </font>
    </dxf>
    <dxf>
      <fill>
        <patternFill>
          <bgColor rgb="FFF3E9D2"/>
        </patternFill>
      </fill>
    </dxf>
    <dxf>
      <fill>
        <patternFill>
          <bgColor rgb="FFFFFFFF"/>
        </patternFill>
      </fill>
    </dxf>
    <dxf>
      <font>
        <b val="1"/>
        <color rgb="FFC2412D"/>
      </font>
    </dxf>
    <dxf>
      <font>
        <b val="1"/>
        <color rgb="FF1F6B3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B3B"/>
      <rgbColor rgb="FF000080"/>
      <rgbColor rgb="FF808000"/>
      <rgbColor rgb="FF800080"/>
      <rgbColor rgb="FF008080"/>
      <rgbColor rgb="FFD8C9A5"/>
      <rgbColor rgb="FF8C8068"/>
      <rgbColor rgb="FF9999FF"/>
      <rgbColor rgb="FF993366"/>
      <rgbColor rgb="FFFBF5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9D2"/>
      <rgbColor rgb="FFF6EDD9"/>
      <rgbColor rgb="FF99CCFF"/>
      <rgbColor rgb="FFFF99CC"/>
      <rgbColor rgb="FFCC99FF"/>
      <rgbColor rgb="FFEBDDB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2412D"/>
      <rgbColor rgb="FF993366"/>
      <rgbColor rgb="FF333399"/>
      <rgbColor rgb="FF1B2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2D"/>
    <pageSetUpPr fitToPage="true"/>
  </sheetPr>
  <dimension ref="B2:C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33.75" hidden="false" customHeight="tru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  <c r="C4" s="3"/>
    </row>
    <row r="6" customFormat="false" ht="30" hidden="false" customHeight="true" outlineLevel="0" collapsed="false">
      <c r="B6" s="4" t="s">
        <v>2</v>
      </c>
      <c r="C6" s="5" t="s">
        <v>3</v>
      </c>
    </row>
    <row r="8" customFormat="false" ht="30" hidden="false" customHeight="true" outlineLevel="0" collapsed="false">
      <c r="B8" s="6" t="s">
        <v>4</v>
      </c>
      <c r="C8" s="5" t="s">
        <v>5</v>
      </c>
    </row>
    <row r="10" customFormat="false" ht="30" hidden="false" customHeight="true" outlineLevel="0" collapsed="false">
      <c r="B10" s="7" t="s">
        <v>6</v>
      </c>
      <c r="C10" s="5" t="s">
        <v>7</v>
      </c>
    </row>
    <row r="12" customFormat="false" ht="30" hidden="false" customHeight="true" outlineLevel="0" collapsed="false">
      <c r="B12" s="7" t="s">
        <v>8</v>
      </c>
      <c r="C12" s="5" t="s">
        <v>9</v>
      </c>
    </row>
    <row r="14" customFormat="false" ht="30" hidden="false" customHeight="true" outlineLevel="0" collapsed="false">
      <c r="B14" s="7" t="s">
        <v>10</v>
      </c>
      <c r="C14" s="5" t="s">
        <v>11</v>
      </c>
    </row>
    <row r="16" customFormat="false" ht="30" hidden="false" customHeight="true" outlineLevel="0" collapsed="false">
      <c r="B16" s="7" t="s">
        <v>12</v>
      </c>
      <c r="C16" s="5" t="s">
        <v>13</v>
      </c>
    </row>
    <row r="18" customFormat="false" ht="30" hidden="false" customHeight="true" outlineLevel="0" collapsed="false">
      <c r="B18" s="7" t="s">
        <v>14</v>
      </c>
      <c r="C18" s="5" t="s">
        <v>15</v>
      </c>
    </row>
    <row r="20" customFormat="false" ht="30" hidden="false" customHeight="true" outlineLevel="0" collapsed="false">
      <c r="B20" s="7" t="s">
        <v>16</v>
      </c>
      <c r="C20" s="5" t="s">
        <v>17</v>
      </c>
    </row>
    <row r="22" customFormat="false" ht="30" hidden="false" customHeight="true" outlineLevel="0" collapsed="false">
      <c r="B22" s="7" t="s">
        <v>18</v>
      </c>
      <c r="C22" s="5" t="s">
        <v>19</v>
      </c>
    </row>
    <row r="24" customFormat="false" ht="30" hidden="false" customHeight="true" outlineLevel="0" collapsed="false">
      <c r="B24" s="7" t="s">
        <v>20</v>
      </c>
      <c r="C24" s="5" t="s">
        <v>21</v>
      </c>
    </row>
    <row r="26" customFormat="false" ht="30" hidden="false" customHeight="true" outlineLevel="0" collapsed="false">
      <c r="B26" s="7" t="s">
        <v>22</v>
      </c>
      <c r="C26" s="5" t="s">
        <v>23</v>
      </c>
    </row>
    <row r="28" customFormat="false" ht="15" hidden="false" customHeight="false" outlineLevel="0" collapsed="false">
      <c r="B28" s="8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true"/>
  </sheetPr>
  <dimension ref="B2:E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4"/>
    <col collapsed="false" customWidth="true" hidden="false" outlineLevel="0" max="5" min="5" style="0" width="50"/>
  </cols>
  <sheetData>
    <row r="2" customFormat="false" ht="33.75" hidden="false" customHeight="true" outlineLevel="0" collapsed="false">
      <c r="B2" s="1" t="s">
        <v>25</v>
      </c>
    </row>
    <row r="3" customFormat="false" ht="15" hidden="false" customHeight="false" outlineLevel="0" collapsed="false">
      <c r="B3" s="2" t="s">
        <v>26</v>
      </c>
    </row>
    <row r="4" customFormat="false" ht="15" hidden="false" customHeight="false" outlineLevel="0" collapsed="false">
      <c r="B4" s="3"/>
      <c r="C4" s="3"/>
      <c r="D4" s="3"/>
    </row>
    <row r="6" customFormat="false" ht="15" hidden="false" customHeight="false" outlineLevel="0" collapsed="false">
      <c r="B6" s="9" t="s">
        <v>27</v>
      </c>
      <c r="C6" s="10" t="s">
        <v>28</v>
      </c>
    </row>
    <row r="7" customFormat="false" ht="15" hidden="false" customHeight="false" outlineLevel="0" collapsed="false">
      <c r="B7" s="9" t="s">
        <v>29</v>
      </c>
      <c r="C7" s="10" t="s">
        <v>30</v>
      </c>
    </row>
    <row r="8" customFormat="false" ht="15" hidden="false" customHeight="false" outlineLevel="0" collapsed="false">
      <c r="B8" s="9" t="s">
        <v>31</v>
      </c>
      <c r="C8" s="11" t="n">
        <v>3</v>
      </c>
      <c r="E8" s="8" t="s">
        <v>32</v>
      </c>
    </row>
    <row r="9" customFormat="false" ht="15" hidden="false" customHeight="false" outlineLevel="0" collapsed="false">
      <c r="B9" s="9" t="s">
        <v>33</v>
      </c>
      <c r="C9" s="12" t="n">
        <v>1</v>
      </c>
    </row>
    <row r="10" customFormat="false" ht="15" hidden="false" customHeight="false" outlineLevel="0" collapsed="false">
      <c r="B10" s="9" t="s">
        <v>34</v>
      </c>
      <c r="C10" s="12" t="n">
        <v>0.5</v>
      </c>
    </row>
    <row r="11" customFormat="false" ht="15" hidden="false" customHeight="false" outlineLevel="0" collapsed="false">
      <c r="B11" s="9" t="s">
        <v>35</v>
      </c>
      <c r="C11" s="10" t="s">
        <v>36</v>
      </c>
    </row>
    <row r="12" customFormat="false" ht="15" hidden="false" customHeight="false" outlineLevel="0" collapsed="false">
      <c r="B12" s="9" t="s">
        <v>37</v>
      </c>
      <c r="C12" s="13" t="n">
        <f aca="false">COUNTA($C$16:$C$31)</f>
        <v>7</v>
      </c>
      <c r="E12" s="8" t="s">
        <v>38</v>
      </c>
    </row>
    <row r="13" customFormat="false" ht="15" hidden="false" customHeight="false" outlineLevel="0" collapsed="false">
      <c r="B13" s="9" t="s">
        <v>39</v>
      </c>
      <c r="C13" s="13" t="n">
        <f aca="false">IF($C$12&lt;3,0,$C$12+MOD($C$12,2)-1)</f>
        <v>7</v>
      </c>
      <c r="E13" s="8" t="s">
        <v>40</v>
      </c>
    </row>
    <row r="15" customFormat="false" ht="24" hidden="false" customHeight="true" outlineLevel="0" collapsed="false">
      <c r="B15" s="14" t="s">
        <v>41</v>
      </c>
      <c r="C15" s="14" t="s">
        <v>42</v>
      </c>
    </row>
    <row r="16" customFormat="false" ht="15" hidden="false" customHeight="false" outlineLevel="0" collapsed="false">
      <c r="B16" s="15" t="n">
        <v>1</v>
      </c>
      <c r="C16" s="10" t="s">
        <v>43</v>
      </c>
      <c r="E16" s="8" t="s">
        <v>44</v>
      </c>
    </row>
    <row r="17" customFormat="false" ht="15" hidden="false" customHeight="false" outlineLevel="0" collapsed="false">
      <c r="B17" s="15" t="n">
        <v>2</v>
      </c>
      <c r="C17" s="10" t="s">
        <v>45</v>
      </c>
    </row>
    <row r="18" customFormat="false" ht="15" hidden="false" customHeight="false" outlineLevel="0" collapsed="false">
      <c r="B18" s="15" t="n">
        <v>3</v>
      </c>
      <c r="C18" s="10" t="s">
        <v>46</v>
      </c>
    </row>
    <row r="19" customFormat="false" ht="15" hidden="false" customHeight="false" outlineLevel="0" collapsed="false">
      <c r="B19" s="15" t="n">
        <v>4</v>
      </c>
      <c r="C19" s="10" t="s">
        <v>47</v>
      </c>
    </row>
    <row r="20" customFormat="false" ht="15" hidden="false" customHeight="false" outlineLevel="0" collapsed="false">
      <c r="B20" s="15" t="n">
        <v>5</v>
      </c>
      <c r="C20" s="10" t="s">
        <v>48</v>
      </c>
    </row>
    <row r="21" customFormat="false" ht="15" hidden="false" customHeight="false" outlineLevel="0" collapsed="false">
      <c r="B21" s="15" t="n">
        <v>6</v>
      </c>
      <c r="C21" s="10" t="s">
        <v>49</v>
      </c>
    </row>
    <row r="22" customFormat="false" ht="15" hidden="false" customHeight="false" outlineLevel="0" collapsed="false">
      <c r="B22" s="15" t="n">
        <v>7</v>
      </c>
      <c r="C22" s="10" t="s">
        <v>50</v>
      </c>
    </row>
    <row r="23" customFormat="false" ht="15" hidden="false" customHeight="false" outlineLevel="0" collapsed="false">
      <c r="B23" s="15" t="n">
        <v>8</v>
      </c>
      <c r="C23" s="10"/>
    </row>
    <row r="24" customFormat="false" ht="15" hidden="false" customHeight="false" outlineLevel="0" collapsed="false">
      <c r="B24" s="15" t="n">
        <v>9</v>
      </c>
      <c r="C24" s="10"/>
    </row>
    <row r="25" customFormat="false" ht="15" hidden="false" customHeight="false" outlineLevel="0" collapsed="false">
      <c r="B25" s="15" t="n">
        <v>10</v>
      </c>
      <c r="C25" s="10"/>
    </row>
    <row r="26" customFormat="false" ht="15" hidden="false" customHeight="false" outlineLevel="0" collapsed="false">
      <c r="B26" s="15" t="n">
        <v>11</v>
      </c>
      <c r="C26" s="10"/>
    </row>
    <row r="27" customFormat="false" ht="15" hidden="false" customHeight="false" outlineLevel="0" collapsed="false">
      <c r="B27" s="15" t="n">
        <v>12</v>
      </c>
      <c r="C27" s="10"/>
    </row>
    <row r="28" customFormat="false" ht="15" hidden="false" customHeight="false" outlineLevel="0" collapsed="false">
      <c r="B28" s="15" t="n">
        <v>13</v>
      </c>
      <c r="C28" s="10"/>
    </row>
    <row r="29" customFormat="false" ht="15" hidden="false" customHeight="false" outlineLevel="0" collapsed="false">
      <c r="B29" s="15" t="n">
        <v>14</v>
      </c>
      <c r="C29" s="10"/>
    </row>
    <row r="30" customFormat="false" ht="15" hidden="false" customHeight="false" outlineLevel="0" collapsed="false">
      <c r="B30" s="15" t="n">
        <v>15</v>
      </c>
      <c r="C30" s="10"/>
    </row>
    <row r="31" customFormat="false" ht="15" hidden="false" customHeight="false" outlineLevel="0" collapsed="false">
      <c r="B31" s="15" t="n">
        <v>16</v>
      </c>
      <c r="C31" s="10"/>
    </row>
  </sheetData>
  <dataValidations count="1">
    <dataValidation allowBlank="true" errorStyle="stop" operator="between" showDropDown="false" showErrorMessage="false" showInputMessage="false" sqref="C7" type="list">
      <formula1>"Singles,Doubles"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true"/>
  </sheetPr>
  <dimension ref="B2:R1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26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true" outlineLevel="0" max="18" min="10" style="0" width="13"/>
  </cols>
  <sheetData>
    <row r="2" customFormat="false" ht="33.75" hidden="false" customHeight="true" outlineLevel="0" collapsed="false">
      <c r="B2" s="1" t="s">
        <v>51</v>
      </c>
    </row>
    <row r="3" customFormat="false" ht="15" hidden="false" customHeight="false" outlineLevel="0" collapsed="false">
      <c r="B3" s="2" t="s">
        <v>52</v>
      </c>
    </row>
    <row r="4" customFormat="false" ht="15" hidden="false" customHeight="false" outlineLevel="0" collapsed="false"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B5" s="14" t="s">
        <v>53</v>
      </c>
      <c r="C5" s="14" t="s">
        <v>54</v>
      </c>
      <c r="D5" s="14" t="s">
        <v>55</v>
      </c>
      <c r="E5" s="14" t="s">
        <v>56</v>
      </c>
      <c r="F5" s="14" t="s">
        <v>57</v>
      </c>
      <c r="G5" s="14" t="s">
        <v>58</v>
      </c>
      <c r="H5" s="14" t="s">
        <v>59</v>
      </c>
    </row>
    <row r="6" customFormat="false" ht="15" hidden="false" customHeight="false" outlineLevel="0" collapsed="false">
      <c r="B6" s="16" t="n">
        <f aca="false">IF(L6,J6+1,"")</f>
        <v>1</v>
      </c>
      <c r="C6" s="16" t="str">
        <f aca="false">IF(NOT(L6),"",IF(O6,"Bye",IF(IF(MOD(Setup!$C$12,2)=1,K6,K6+1)&gt;Setup!$C$8,"Next free",IF(MOD(Setup!$C$12,2)=1,K6,K6+1))))</f>
        <v>Bye</v>
      </c>
      <c r="D6" s="17" t="str">
        <f aca="false">IF(NOT(L6),"",IF(M6&gt;=Setup!$C$12,"Bye",INDEX(Setup!$C$16:$C$31,M6+1)))</f>
        <v>Anna</v>
      </c>
      <c r="E6" s="18"/>
      <c r="F6" s="18"/>
      <c r="G6" s="17" t="str">
        <f aca="false">IF(NOT(L6),"",IF(N6&gt;=Setup!$C$12,"Bye",INDEX(Setup!$C$16:$C$31,N6+1)))</f>
        <v>Bye</v>
      </c>
      <c r="H6" s="17" t="str">
        <f aca="false">IF(OR(NOT(L6),O6,E6="",F6=""),"",IF(E6&gt;F6,D6,IF(F6&gt;E6,G6,"Tie")))</f>
        <v/>
      </c>
      <c r="J6" s="19" t="n">
        <f aca="false">IF(Setup!$C$13=0,"",INT(0/((Setup!$C$13+1)/2)))</f>
        <v>0</v>
      </c>
      <c r="K6" s="19" t="n">
        <f aca="false">IF(Setup!$C$13=0,"",MOD(0,(Setup!$C$13+1)/2))</f>
        <v>0</v>
      </c>
      <c r="L6" s="20" t="b">
        <f aca="false">AND(Setup!$C$13&gt;0,J6&lt;Setup!$C$13)</f>
        <v>1</v>
      </c>
      <c r="M6" s="19" t="n">
        <f aca="false">IF(NOT(L6),"",IF(K6=0,J6,MOD(J6+K6,Setup!$C$13)))</f>
        <v>0</v>
      </c>
      <c r="N6" s="21" t="n">
        <f aca="false">IF(NOT(L6),"",IF(K6=0,Setup!$C$13,MOD(J6-K6+Setup!$C$13,Setup!$C$13)))</f>
        <v>7</v>
      </c>
      <c r="O6" s="20" t="b">
        <f aca="false">AND(L6,OR(M6&gt;=Setup!$C$12,N6&gt;=Setup!$C$12))</f>
        <v>1</v>
      </c>
      <c r="P6" s="19" t="n">
        <f aca="false">IF(AND(L6,NOT(O6),E6&lt;&gt;"",F6&lt;&gt;""),1,0)</f>
        <v>0</v>
      </c>
      <c r="Q6" s="0" t="str">
        <f aca="false">IF(L6,D6&amp;"|"&amp;G6,"")</f>
        <v>Anna|Bye</v>
      </c>
      <c r="R6" s="0" t="str">
        <f aca="false">IF(L6,G6&amp;"|"&amp;D6,"")</f>
        <v>Bye|Anna</v>
      </c>
    </row>
    <row r="7" customFormat="false" ht="15" hidden="false" customHeight="false" outlineLevel="0" collapsed="false">
      <c r="B7" s="16" t="n">
        <f aca="false">IF(L7,J7+1,"")</f>
        <v>1</v>
      </c>
      <c r="C7" s="16" t="n">
        <f aca="false">IF(NOT(L7),"",IF(O7,"Bye",IF(IF(MOD(Setup!$C$12,2)=1,K7,K7+1)&gt;Setup!$C$8,"Next free",IF(MOD(Setup!$C$12,2)=1,K7,K7+1))))</f>
        <v>1</v>
      </c>
      <c r="D7" s="17" t="str">
        <f aca="false">IF(NOT(L7),"",IF(M7&gt;=Setup!$C$12,"Bye",INDEX(Setup!$C$16:$C$31,M7+1)))</f>
        <v>Ben</v>
      </c>
      <c r="E7" s="18" t="n">
        <v>6</v>
      </c>
      <c r="F7" s="18" t="n">
        <v>3</v>
      </c>
      <c r="G7" s="17" t="str">
        <f aca="false">IF(NOT(L7),"",IF(N7&gt;=Setup!$C$12,"Bye",INDEX(Setup!$C$16:$C$31,N7+1)))</f>
        <v>Grace</v>
      </c>
      <c r="H7" s="17" t="str">
        <f aca="false">IF(OR(NOT(L7),O7,E7="",F7=""),"",IF(E7&gt;F7,D7,IF(F7&gt;E7,G7,"Tie")))</f>
        <v>Ben</v>
      </c>
      <c r="J7" s="19" t="n">
        <f aca="false">IF(Setup!$C$13=0,"",INT(1/((Setup!$C$13+1)/2)))</f>
        <v>0</v>
      </c>
      <c r="K7" s="19" t="n">
        <f aca="false">IF(Setup!$C$13=0,"",MOD(1,(Setup!$C$13+1)/2))</f>
        <v>1</v>
      </c>
      <c r="L7" s="20" t="b">
        <f aca="false">AND(Setup!$C$13&gt;0,J7&lt;Setup!$C$13)</f>
        <v>1</v>
      </c>
      <c r="M7" s="19" t="n">
        <f aca="false">IF(NOT(L7),"",IF(K7=0,J7,MOD(J7+K7,Setup!$C$13)))</f>
        <v>1</v>
      </c>
      <c r="N7" s="19" t="n">
        <f aca="false">IF(NOT(L7),"",IF(K7=0,Setup!$C$13,MOD(J7-K7+Setup!$C$13,Setup!$C$13)))</f>
        <v>6</v>
      </c>
      <c r="O7" s="20" t="b">
        <f aca="false">AND(L7,OR(M7&gt;=Setup!$C$12,N7&gt;=Setup!$C$12))</f>
        <v>0</v>
      </c>
      <c r="P7" s="19" t="n">
        <f aca="false">IF(AND(L7,NOT(O7),E7&lt;&gt;"",F7&lt;&gt;""),1,0)</f>
        <v>1</v>
      </c>
      <c r="Q7" s="0" t="str">
        <f aca="false">IF(L7,D7&amp;"|"&amp;G7,"")</f>
        <v>Ben|Grace</v>
      </c>
      <c r="R7" s="0" t="str">
        <f aca="false">IF(L7,G7&amp;"|"&amp;D7,"")</f>
        <v>Grace|Ben</v>
      </c>
    </row>
    <row r="8" customFormat="false" ht="15" hidden="false" customHeight="false" outlineLevel="0" collapsed="false">
      <c r="B8" s="16" t="n">
        <f aca="false">IF(L8,J8+1,"")</f>
        <v>1</v>
      </c>
      <c r="C8" s="16" t="n">
        <f aca="false">IF(NOT(L8),"",IF(O8,"Bye",IF(IF(MOD(Setup!$C$12,2)=1,K8,K8+1)&gt;Setup!$C$8,"Next free",IF(MOD(Setup!$C$12,2)=1,K8,K8+1))))</f>
        <v>2</v>
      </c>
      <c r="D8" s="17" t="str">
        <f aca="false">IF(NOT(L8),"",IF(M8&gt;=Setup!$C$12,"Bye",INDEX(Setup!$C$16:$C$31,M8+1)))</f>
        <v>Carla</v>
      </c>
      <c r="E8" s="18" t="n">
        <v>4</v>
      </c>
      <c r="F8" s="18" t="n">
        <v>6</v>
      </c>
      <c r="G8" s="17" t="str">
        <f aca="false">IF(NOT(L8),"",IF(N8&gt;=Setup!$C$12,"Bye",INDEX(Setup!$C$16:$C$31,N8+1)))</f>
        <v>Felix</v>
      </c>
      <c r="H8" s="17" t="str">
        <f aca="false">IF(OR(NOT(L8),O8,E8="",F8=""),"",IF(E8&gt;F8,D8,IF(F8&gt;E8,G8,"Tie")))</f>
        <v>Felix</v>
      </c>
      <c r="J8" s="19" t="n">
        <f aca="false">IF(Setup!$C$13=0,"",INT(2/((Setup!$C$13+1)/2)))</f>
        <v>0</v>
      </c>
      <c r="K8" s="19" t="n">
        <f aca="false">IF(Setup!$C$13=0,"",MOD(2,(Setup!$C$13+1)/2))</f>
        <v>2</v>
      </c>
      <c r="L8" s="20" t="b">
        <f aca="false">AND(Setup!$C$13&gt;0,J8&lt;Setup!$C$13)</f>
        <v>1</v>
      </c>
      <c r="M8" s="19" t="n">
        <f aca="false">IF(NOT(L8),"",IF(K8=0,J8,MOD(J8+K8,Setup!$C$13)))</f>
        <v>2</v>
      </c>
      <c r="N8" s="19" t="n">
        <f aca="false">IF(NOT(L8),"",IF(K8=0,Setup!$C$13,MOD(J8-K8+Setup!$C$13,Setup!$C$13)))</f>
        <v>5</v>
      </c>
      <c r="O8" s="20" t="b">
        <f aca="false">AND(L8,OR(M8&gt;=Setup!$C$12,N8&gt;=Setup!$C$12))</f>
        <v>0</v>
      </c>
      <c r="P8" s="19" t="n">
        <f aca="false">IF(AND(L8,NOT(O8),E8&lt;&gt;"",F8&lt;&gt;""),1,0)</f>
        <v>1</v>
      </c>
      <c r="Q8" s="0" t="str">
        <f aca="false">IF(L8,D8&amp;"|"&amp;G8,"")</f>
        <v>Carla|Felix</v>
      </c>
      <c r="R8" s="0" t="str">
        <f aca="false">IF(L8,G8&amp;"|"&amp;D8,"")</f>
        <v>Felix|Carla</v>
      </c>
    </row>
    <row r="9" customFormat="false" ht="15" hidden="false" customHeight="false" outlineLevel="0" collapsed="false">
      <c r="B9" s="16" t="n">
        <f aca="false">IF(L9,J9+1,"")</f>
        <v>1</v>
      </c>
      <c r="C9" s="16" t="n">
        <f aca="false">IF(NOT(L9),"",IF(O9,"Bye",IF(IF(MOD(Setup!$C$12,2)=1,K9,K9+1)&gt;Setup!$C$8,"Next free",IF(MOD(Setup!$C$12,2)=1,K9,K9+1))))</f>
        <v>3</v>
      </c>
      <c r="D9" s="17" t="str">
        <f aca="false">IF(NOT(L9),"",IF(M9&gt;=Setup!$C$12,"Bye",INDEX(Setup!$C$16:$C$31,M9+1)))</f>
        <v>David</v>
      </c>
      <c r="E9" s="18" t="n">
        <v>6</v>
      </c>
      <c r="F9" s="18" t="n">
        <v>2</v>
      </c>
      <c r="G9" s="17" t="str">
        <f aca="false">IF(NOT(L9),"",IF(N9&gt;=Setup!$C$12,"Bye",INDEX(Setup!$C$16:$C$31,N9+1)))</f>
        <v>Elena</v>
      </c>
      <c r="H9" s="17" t="str">
        <f aca="false">IF(OR(NOT(L9),O9,E9="",F9=""),"",IF(E9&gt;F9,D9,IF(F9&gt;E9,G9,"Tie")))</f>
        <v>David</v>
      </c>
      <c r="J9" s="19" t="n">
        <f aca="false">IF(Setup!$C$13=0,"",INT(3/((Setup!$C$13+1)/2)))</f>
        <v>0</v>
      </c>
      <c r="K9" s="19" t="n">
        <f aca="false">IF(Setup!$C$13=0,"",MOD(3,(Setup!$C$13+1)/2))</f>
        <v>3</v>
      </c>
      <c r="L9" s="20" t="b">
        <f aca="false">AND(Setup!$C$13&gt;0,J9&lt;Setup!$C$13)</f>
        <v>1</v>
      </c>
      <c r="M9" s="19" t="n">
        <f aca="false">IF(NOT(L9),"",IF(K9=0,J9,MOD(J9+K9,Setup!$C$13)))</f>
        <v>3</v>
      </c>
      <c r="N9" s="19" t="n">
        <f aca="false">IF(NOT(L9),"",IF(K9=0,Setup!$C$13,MOD(J9-K9+Setup!$C$13,Setup!$C$13)))</f>
        <v>4</v>
      </c>
      <c r="O9" s="20" t="b">
        <f aca="false">AND(L9,OR(M9&gt;=Setup!$C$12,N9&gt;=Setup!$C$12))</f>
        <v>0</v>
      </c>
      <c r="P9" s="19" t="n">
        <f aca="false">IF(AND(L9,NOT(O9),E9&lt;&gt;"",F9&lt;&gt;""),1,0)</f>
        <v>1</v>
      </c>
      <c r="Q9" s="0" t="str">
        <f aca="false">IF(L9,D9&amp;"|"&amp;G9,"")</f>
        <v>David|Elena</v>
      </c>
      <c r="R9" s="0" t="str">
        <f aca="false">IF(L9,G9&amp;"|"&amp;D9,"")</f>
        <v>Elena|David</v>
      </c>
    </row>
    <row r="10" customFormat="false" ht="15" hidden="false" customHeight="false" outlineLevel="0" collapsed="false">
      <c r="B10" s="16" t="n">
        <f aca="false">IF(L10,J10+1,"")</f>
        <v>2</v>
      </c>
      <c r="C10" s="16" t="str">
        <f aca="false">IF(NOT(L10),"",IF(O10,"Bye",IF(IF(MOD(Setup!$C$12,2)=1,K10,K10+1)&gt;Setup!$C$8,"Next free",IF(MOD(Setup!$C$12,2)=1,K10,K10+1))))</f>
        <v>Bye</v>
      </c>
      <c r="D10" s="17" t="str">
        <f aca="false">IF(NOT(L10),"",IF(M10&gt;=Setup!$C$12,"Bye",INDEX(Setup!$C$16:$C$31,M10+1)))</f>
        <v>Ben</v>
      </c>
      <c r="E10" s="18"/>
      <c r="F10" s="18"/>
      <c r="G10" s="17" t="str">
        <f aca="false">IF(NOT(L10),"",IF(N10&gt;=Setup!$C$12,"Bye",INDEX(Setup!$C$16:$C$31,N10+1)))</f>
        <v>Bye</v>
      </c>
      <c r="H10" s="17" t="str">
        <f aca="false">IF(OR(NOT(L10),O10,E10="",F10=""),"",IF(E10&gt;F10,D10,IF(F10&gt;E10,G10,"Tie")))</f>
        <v/>
      </c>
      <c r="J10" s="19" t="n">
        <f aca="false">IF(Setup!$C$13=0,"",INT(4/((Setup!$C$13+1)/2)))</f>
        <v>1</v>
      </c>
      <c r="K10" s="19" t="n">
        <f aca="false">IF(Setup!$C$13=0,"",MOD(4,(Setup!$C$13+1)/2))</f>
        <v>0</v>
      </c>
      <c r="L10" s="20" t="b">
        <f aca="false">AND(Setup!$C$13&gt;0,J10&lt;Setup!$C$13)</f>
        <v>1</v>
      </c>
      <c r="M10" s="19" t="n">
        <f aca="false">IF(NOT(L10),"",IF(K10=0,J10,MOD(J10+K10,Setup!$C$13)))</f>
        <v>1</v>
      </c>
      <c r="N10" s="21" t="n">
        <f aca="false">IF(NOT(L10),"",IF(K10=0,Setup!$C$13,MOD(J10-K10+Setup!$C$13,Setup!$C$13)))</f>
        <v>7</v>
      </c>
      <c r="O10" s="20" t="b">
        <f aca="false">AND(L10,OR(M10&gt;=Setup!$C$12,N10&gt;=Setup!$C$12))</f>
        <v>1</v>
      </c>
      <c r="P10" s="19" t="n">
        <f aca="false">IF(AND(L10,NOT(O10),E10&lt;&gt;"",F10&lt;&gt;""),1,0)</f>
        <v>0</v>
      </c>
      <c r="Q10" s="0" t="str">
        <f aca="false">IF(L10,D10&amp;"|"&amp;G10,"")</f>
        <v>Ben|Bye</v>
      </c>
      <c r="R10" s="0" t="str">
        <f aca="false">IF(L10,G10&amp;"|"&amp;D10,"")</f>
        <v>Bye|Ben</v>
      </c>
    </row>
    <row r="11" customFormat="false" ht="15" hidden="false" customHeight="false" outlineLevel="0" collapsed="false">
      <c r="B11" s="16" t="n">
        <f aca="false">IF(L11,J11+1,"")</f>
        <v>2</v>
      </c>
      <c r="C11" s="16" t="n">
        <f aca="false">IF(NOT(L11),"",IF(O11,"Bye",IF(IF(MOD(Setup!$C$12,2)=1,K11,K11+1)&gt;Setup!$C$8,"Next free",IF(MOD(Setup!$C$12,2)=1,K11,K11+1))))</f>
        <v>1</v>
      </c>
      <c r="D11" s="17" t="str">
        <f aca="false">IF(NOT(L11),"",IF(M11&gt;=Setup!$C$12,"Bye",INDEX(Setup!$C$16:$C$31,M11+1)))</f>
        <v>Carla</v>
      </c>
      <c r="E11" s="18" t="n">
        <v>6</v>
      </c>
      <c r="F11" s="18" t="n">
        <v>4</v>
      </c>
      <c r="G11" s="17" t="str">
        <f aca="false">IF(NOT(L11),"",IF(N11&gt;=Setup!$C$12,"Bye",INDEX(Setup!$C$16:$C$31,N11+1)))</f>
        <v>Anna</v>
      </c>
      <c r="H11" s="17" t="str">
        <f aca="false">IF(OR(NOT(L11),O11,E11="",F11=""),"",IF(E11&gt;F11,D11,IF(F11&gt;E11,G11,"Tie")))</f>
        <v>Carla</v>
      </c>
      <c r="J11" s="19" t="n">
        <f aca="false">IF(Setup!$C$13=0,"",INT(5/((Setup!$C$13+1)/2)))</f>
        <v>1</v>
      </c>
      <c r="K11" s="19" t="n">
        <f aca="false">IF(Setup!$C$13=0,"",MOD(5,(Setup!$C$13+1)/2))</f>
        <v>1</v>
      </c>
      <c r="L11" s="20" t="b">
        <f aca="false">AND(Setup!$C$13&gt;0,J11&lt;Setup!$C$13)</f>
        <v>1</v>
      </c>
      <c r="M11" s="19" t="n">
        <f aca="false">IF(NOT(L11),"",IF(K11=0,J11,MOD(J11+K11,Setup!$C$13)))</f>
        <v>2</v>
      </c>
      <c r="N11" s="19" t="n">
        <f aca="false">IF(NOT(L11),"",IF(K11=0,Setup!$C$13,MOD(J11-K11+Setup!$C$13,Setup!$C$13)))</f>
        <v>0</v>
      </c>
      <c r="O11" s="20" t="b">
        <f aca="false">AND(L11,OR(M11&gt;=Setup!$C$12,N11&gt;=Setup!$C$12))</f>
        <v>0</v>
      </c>
      <c r="P11" s="19" t="n">
        <f aca="false">IF(AND(L11,NOT(O11),E11&lt;&gt;"",F11&lt;&gt;""),1,0)</f>
        <v>1</v>
      </c>
      <c r="Q11" s="0" t="str">
        <f aca="false">IF(L11,D11&amp;"|"&amp;G11,"")</f>
        <v>Carla|Anna</v>
      </c>
      <c r="R11" s="0" t="str">
        <f aca="false">IF(L11,G11&amp;"|"&amp;D11,"")</f>
        <v>Anna|Carla</v>
      </c>
    </row>
    <row r="12" customFormat="false" ht="15" hidden="false" customHeight="false" outlineLevel="0" collapsed="false">
      <c r="B12" s="16" t="n">
        <f aca="false">IF(L12,J12+1,"")</f>
        <v>2</v>
      </c>
      <c r="C12" s="16" t="n">
        <f aca="false">IF(NOT(L12),"",IF(O12,"Bye",IF(IF(MOD(Setup!$C$12,2)=1,K12,K12+1)&gt;Setup!$C$8,"Next free",IF(MOD(Setup!$C$12,2)=1,K12,K12+1))))</f>
        <v>2</v>
      </c>
      <c r="D12" s="17" t="str">
        <f aca="false">IF(NOT(L12),"",IF(M12&gt;=Setup!$C$12,"Bye",INDEX(Setup!$C$16:$C$31,M12+1)))</f>
        <v>David</v>
      </c>
      <c r="E12" s="18" t="n">
        <v>5</v>
      </c>
      <c r="F12" s="18" t="n">
        <v>6</v>
      </c>
      <c r="G12" s="17" t="str">
        <f aca="false">IF(NOT(L12),"",IF(N12&gt;=Setup!$C$12,"Bye",INDEX(Setup!$C$16:$C$31,N12+1)))</f>
        <v>Grace</v>
      </c>
      <c r="H12" s="17" t="str">
        <f aca="false">IF(OR(NOT(L12),O12,E12="",F12=""),"",IF(E12&gt;F12,D12,IF(F12&gt;E12,G12,"Tie")))</f>
        <v>Grace</v>
      </c>
      <c r="J12" s="19" t="n">
        <f aca="false">IF(Setup!$C$13=0,"",INT(6/((Setup!$C$13+1)/2)))</f>
        <v>1</v>
      </c>
      <c r="K12" s="19" t="n">
        <f aca="false">IF(Setup!$C$13=0,"",MOD(6,(Setup!$C$13+1)/2))</f>
        <v>2</v>
      </c>
      <c r="L12" s="20" t="b">
        <f aca="false">AND(Setup!$C$13&gt;0,J12&lt;Setup!$C$13)</f>
        <v>1</v>
      </c>
      <c r="M12" s="19" t="n">
        <f aca="false">IF(NOT(L12),"",IF(K12=0,J12,MOD(J12+K12,Setup!$C$13)))</f>
        <v>3</v>
      </c>
      <c r="N12" s="19" t="n">
        <f aca="false">IF(NOT(L12),"",IF(K12=0,Setup!$C$13,MOD(J12-K12+Setup!$C$13,Setup!$C$13)))</f>
        <v>6</v>
      </c>
      <c r="O12" s="20" t="b">
        <f aca="false">AND(L12,OR(M12&gt;=Setup!$C$12,N12&gt;=Setup!$C$12))</f>
        <v>0</v>
      </c>
      <c r="P12" s="19" t="n">
        <f aca="false">IF(AND(L12,NOT(O12),E12&lt;&gt;"",F12&lt;&gt;""),1,0)</f>
        <v>1</v>
      </c>
      <c r="Q12" s="0" t="str">
        <f aca="false">IF(L12,D12&amp;"|"&amp;G12,"")</f>
        <v>David|Grace</v>
      </c>
      <c r="R12" s="0" t="str">
        <f aca="false">IF(L12,G12&amp;"|"&amp;D12,"")</f>
        <v>Grace|David</v>
      </c>
    </row>
    <row r="13" customFormat="false" ht="15" hidden="false" customHeight="false" outlineLevel="0" collapsed="false">
      <c r="B13" s="16" t="n">
        <f aca="false">IF(L13,J13+1,"")</f>
        <v>2</v>
      </c>
      <c r="C13" s="16" t="n">
        <f aca="false">IF(NOT(L13),"",IF(O13,"Bye",IF(IF(MOD(Setup!$C$12,2)=1,K13,K13+1)&gt;Setup!$C$8,"Next free",IF(MOD(Setup!$C$12,2)=1,K13,K13+1))))</f>
        <v>3</v>
      </c>
      <c r="D13" s="17" t="str">
        <f aca="false">IF(NOT(L13),"",IF(M13&gt;=Setup!$C$12,"Bye",INDEX(Setup!$C$16:$C$31,M13+1)))</f>
        <v>Elena</v>
      </c>
      <c r="E13" s="18" t="n">
        <v>6</v>
      </c>
      <c r="F13" s="18" t="n">
        <v>1</v>
      </c>
      <c r="G13" s="17" t="str">
        <f aca="false">IF(NOT(L13),"",IF(N13&gt;=Setup!$C$12,"Bye",INDEX(Setup!$C$16:$C$31,N13+1)))</f>
        <v>Felix</v>
      </c>
      <c r="H13" s="17" t="str">
        <f aca="false">IF(OR(NOT(L13),O13,E13="",F13=""),"",IF(E13&gt;F13,D13,IF(F13&gt;E13,G13,"Tie")))</f>
        <v>Elena</v>
      </c>
      <c r="J13" s="19" t="n">
        <f aca="false">IF(Setup!$C$13=0,"",INT(7/((Setup!$C$13+1)/2)))</f>
        <v>1</v>
      </c>
      <c r="K13" s="19" t="n">
        <f aca="false">IF(Setup!$C$13=0,"",MOD(7,(Setup!$C$13+1)/2))</f>
        <v>3</v>
      </c>
      <c r="L13" s="20" t="b">
        <f aca="false">AND(Setup!$C$13&gt;0,J13&lt;Setup!$C$13)</f>
        <v>1</v>
      </c>
      <c r="M13" s="19" t="n">
        <f aca="false">IF(NOT(L13),"",IF(K13=0,J13,MOD(J13+K13,Setup!$C$13)))</f>
        <v>4</v>
      </c>
      <c r="N13" s="19" t="n">
        <f aca="false">IF(NOT(L13),"",IF(K13=0,Setup!$C$13,MOD(J13-K13+Setup!$C$13,Setup!$C$13)))</f>
        <v>5</v>
      </c>
      <c r="O13" s="20" t="b">
        <f aca="false">AND(L13,OR(M13&gt;=Setup!$C$12,N13&gt;=Setup!$C$12))</f>
        <v>0</v>
      </c>
      <c r="P13" s="19" t="n">
        <f aca="false">IF(AND(L13,NOT(O13),E13&lt;&gt;"",F13&lt;&gt;""),1,0)</f>
        <v>1</v>
      </c>
      <c r="Q13" s="0" t="str">
        <f aca="false">IF(L13,D13&amp;"|"&amp;G13,"")</f>
        <v>Elena|Felix</v>
      </c>
      <c r="R13" s="0" t="str">
        <f aca="false">IF(L13,G13&amp;"|"&amp;D13,"")</f>
        <v>Felix|Elena</v>
      </c>
    </row>
    <row r="14" customFormat="false" ht="15" hidden="false" customHeight="false" outlineLevel="0" collapsed="false">
      <c r="B14" s="16" t="n">
        <f aca="false">IF(L14,J14+1,"")</f>
        <v>3</v>
      </c>
      <c r="C14" s="16" t="str">
        <f aca="false">IF(NOT(L14),"",IF(O14,"Bye",IF(IF(MOD(Setup!$C$12,2)=1,K14,K14+1)&gt;Setup!$C$8,"Next free",IF(MOD(Setup!$C$12,2)=1,K14,K14+1))))</f>
        <v>Bye</v>
      </c>
      <c r="D14" s="17" t="str">
        <f aca="false">IF(NOT(L14),"",IF(M14&gt;=Setup!$C$12,"Bye",INDEX(Setup!$C$16:$C$31,M14+1)))</f>
        <v>Carla</v>
      </c>
      <c r="E14" s="18"/>
      <c r="F14" s="18"/>
      <c r="G14" s="17" t="str">
        <f aca="false">IF(NOT(L14),"",IF(N14&gt;=Setup!$C$12,"Bye",INDEX(Setup!$C$16:$C$31,N14+1)))</f>
        <v>Bye</v>
      </c>
      <c r="H14" s="17" t="str">
        <f aca="false">IF(OR(NOT(L14),O14,E14="",F14=""),"",IF(E14&gt;F14,D14,IF(F14&gt;E14,G14,"Tie")))</f>
        <v/>
      </c>
      <c r="J14" s="19" t="n">
        <f aca="false">IF(Setup!$C$13=0,"",INT(8/((Setup!$C$13+1)/2)))</f>
        <v>2</v>
      </c>
      <c r="K14" s="19" t="n">
        <f aca="false">IF(Setup!$C$13=0,"",MOD(8,(Setup!$C$13+1)/2))</f>
        <v>0</v>
      </c>
      <c r="L14" s="20" t="b">
        <f aca="false">AND(Setup!$C$13&gt;0,J14&lt;Setup!$C$13)</f>
        <v>1</v>
      </c>
      <c r="M14" s="19" t="n">
        <f aca="false">IF(NOT(L14),"",IF(K14=0,J14,MOD(J14+K14,Setup!$C$13)))</f>
        <v>2</v>
      </c>
      <c r="N14" s="21" t="n">
        <f aca="false">IF(NOT(L14),"",IF(K14=0,Setup!$C$13,MOD(J14-K14+Setup!$C$13,Setup!$C$13)))</f>
        <v>7</v>
      </c>
      <c r="O14" s="20" t="b">
        <f aca="false">AND(L14,OR(M14&gt;=Setup!$C$12,N14&gt;=Setup!$C$12))</f>
        <v>1</v>
      </c>
      <c r="P14" s="19" t="n">
        <f aca="false">IF(AND(L14,NOT(O14),E14&lt;&gt;"",F14&lt;&gt;""),1,0)</f>
        <v>0</v>
      </c>
      <c r="Q14" s="0" t="str">
        <f aca="false">IF(L14,D14&amp;"|"&amp;G14,"")</f>
        <v>Carla|Bye</v>
      </c>
      <c r="R14" s="0" t="str">
        <f aca="false">IF(L14,G14&amp;"|"&amp;D14,"")</f>
        <v>Bye|Carla</v>
      </c>
    </row>
    <row r="15" customFormat="false" ht="15" hidden="false" customHeight="false" outlineLevel="0" collapsed="false">
      <c r="B15" s="16" t="n">
        <f aca="false">IF(L15,J15+1,"")</f>
        <v>3</v>
      </c>
      <c r="C15" s="16" t="n">
        <f aca="false">IF(NOT(L15),"",IF(O15,"Bye",IF(IF(MOD(Setup!$C$12,2)=1,K15,K15+1)&gt;Setup!$C$8,"Next free",IF(MOD(Setup!$C$12,2)=1,K15,K15+1))))</f>
        <v>1</v>
      </c>
      <c r="D15" s="17" t="str">
        <f aca="false">IF(NOT(L15),"",IF(M15&gt;=Setup!$C$12,"Bye",INDEX(Setup!$C$16:$C$31,M15+1)))</f>
        <v>David</v>
      </c>
      <c r="E15" s="18" t="n">
        <v>3</v>
      </c>
      <c r="F15" s="18" t="n">
        <v>6</v>
      </c>
      <c r="G15" s="17" t="str">
        <f aca="false">IF(NOT(L15),"",IF(N15&gt;=Setup!$C$12,"Bye",INDEX(Setup!$C$16:$C$31,N15+1)))</f>
        <v>Ben</v>
      </c>
      <c r="H15" s="17" t="str">
        <f aca="false">IF(OR(NOT(L15),O15,E15="",F15=""),"",IF(E15&gt;F15,D15,IF(F15&gt;E15,G15,"Tie")))</f>
        <v>Ben</v>
      </c>
      <c r="J15" s="19" t="n">
        <f aca="false">IF(Setup!$C$13=0,"",INT(9/((Setup!$C$13+1)/2)))</f>
        <v>2</v>
      </c>
      <c r="K15" s="19" t="n">
        <f aca="false">IF(Setup!$C$13=0,"",MOD(9,(Setup!$C$13+1)/2))</f>
        <v>1</v>
      </c>
      <c r="L15" s="20" t="b">
        <f aca="false">AND(Setup!$C$13&gt;0,J15&lt;Setup!$C$13)</f>
        <v>1</v>
      </c>
      <c r="M15" s="19" t="n">
        <f aca="false">IF(NOT(L15),"",IF(K15=0,J15,MOD(J15+K15,Setup!$C$13)))</f>
        <v>3</v>
      </c>
      <c r="N15" s="19" t="n">
        <f aca="false">IF(NOT(L15),"",IF(K15=0,Setup!$C$13,MOD(J15-K15+Setup!$C$13,Setup!$C$13)))</f>
        <v>1</v>
      </c>
      <c r="O15" s="20" t="b">
        <f aca="false">AND(L15,OR(M15&gt;=Setup!$C$12,N15&gt;=Setup!$C$12))</f>
        <v>0</v>
      </c>
      <c r="P15" s="19" t="n">
        <f aca="false">IF(AND(L15,NOT(O15),E15&lt;&gt;"",F15&lt;&gt;""),1,0)</f>
        <v>1</v>
      </c>
      <c r="Q15" s="0" t="str">
        <f aca="false">IF(L15,D15&amp;"|"&amp;G15,"")</f>
        <v>David|Ben</v>
      </c>
      <c r="R15" s="0" t="str">
        <f aca="false">IF(L15,G15&amp;"|"&amp;D15,"")</f>
        <v>Ben|David</v>
      </c>
    </row>
    <row r="16" customFormat="false" ht="15" hidden="false" customHeight="false" outlineLevel="0" collapsed="false">
      <c r="B16" s="16" t="n">
        <f aca="false">IF(L16,J16+1,"")</f>
        <v>3</v>
      </c>
      <c r="C16" s="16" t="n">
        <f aca="false">IF(NOT(L16),"",IF(O16,"Bye",IF(IF(MOD(Setup!$C$12,2)=1,K16,K16+1)&gt;Setup!$C$8,"Next free",IF(MOD(Setup!$C$12,2)=1,K16,K16+1))))</f>
        <v>2</v>
      </c>
      <c r="D16" s="17" t="str">
        <f aca="false">IF(NOT(L16),"",IF(M16&gt;=Setup!$C$12,"Bye",INDEX(Setup!$C$16:$C$31,M16+1)))</f>
        <v>Elena</v>
      </c>
      <c r="E16" s="18" t="n">
        <v>5</v>
      </c>
      <c r="F16" s="18" t="n">
        <v>5</v>
      </c>
      <c r="G16" s="17" t="str">
        <f aca="false">IF(NOT(L16),"",IF(N16&gt;=Setup!$C$12,"Bye",INDEX(Setup!$C$16:$C$31,N16+1)))</f>
        <v>Anna</v>
      </c>
      <c r="H16" s="17" t="str">
        <f aca="false">IF(OR(NOT(L16),O16,E16="",F16=""),"",IF(E16&gt;F16,D16,IF(F16&gt;E16,G16,"Tie")))</f>
        <v>Tie</v>
      </c>
      <c r="J16" s="19" t="n">
        <f aca="false">IF(Setup!$C$13=0,"",INT(10/((Setup!$C$13+1)/2)))</f>
        <v>2</v>
      </c>
      <c r="K16" s="19" t="n">
        <f aca="false">IF(Setup!$C$13=0,"",MOD(10,(Setup!$C$13+1)/2))</f>
        <v>2</v>
      </c>
      <c r="L16" s="20" t="b">
        <f aca="false">AND(Setup!$C$13&gt;0,J16&lt;Setup!$C$13)</f>
        <v>1</v>
      </c>
      <c r="M16" s="19" t="n">
        <f aca="false">IF(NOT(L16),"",IF(K16=0,J16,MOD(J16+K16,Setup!$C$13)))</f>
        <v>4</v>
      </c>
      <c r="N16" s="19" t="n">
        <f aca="false">IF(NOT(L16),"",IF(K16=0,Setup!$C$13,MOD(J16-K16+Setup!$C$13,Setup!$C$13)))</f>
        <v>0</v>
      </c>
      <c r="O16" s="20" t="b">
        <f aca="false">AND(L16,OR(M16&gt;=Setup!$C$12,N16&gt;=Setup!$C$12))</f>
        <v>0</v>
      </c>
      <c r="P16" s="19" t="n">
        <f aca="false">IF(AND(L16,NOT(O16),E16&lt;&gt;"",F16&lt;&gt;""),1,0)</f>
        <v>1</v>
      </c>
      <c r="Q16" s="0" t="str">
        <f aca="false">IF(L16,D16&amp;"|"&amp;G16,"")</f>
        <v>Elena|Anna</v>
      </c>
      <c r="R16" s="0" t="str">
        <f aca="false">IF(L16,G16&amp;"|"&amp;D16,"")</f>
        <v>Anna|Elena</v>
      </c>
    </row>
    <row r="17" customFormat="false" ht="15" hidden="false" customHeight="false" outlineLevel="0" collapsed="false">
      <c r="B17" s="16" t="n">
        <f aca="false">IF(L17,J17+1,"")</f>
        <v>3</v>
      </c>
      <c r="C17" s="16" t="n">
        <f aca="false">IF(NOT(L17),"",IF(O17,"Bye",IF(IF(MOD(Setup!$C$12,2)=1,K17,K17+1)&gt;Setup!$C$8,"Next free",IF(MOD(Setup!$C$12,2)=1,K17,K17+1))))</f>
        <v>3</v>
      </c>
      <c r="D17" s="17" t="str">
        <f aca="false">IF(NOT(L17),"",IF(M17&gt;=Setup!$C$12,"Bye",INDEX(Setup!$C$16:$C$31,M17+1)))</f>
        <v>Felix</v>
      </c>
      <c r="E17" s="18" t="n">
        <v>6</v>
      </c>
      <c r="F17" s="18" t="n">
        <v>0</v>
      </c>
      <c r="G17" s="17" t="str">
        <f aca="false">IF(NOT(L17),"",IF(N17&gt;=Setup!$C$12,"Bye",INDEX(Setup!$C$16:$C$31,N17+1)))</f>
        <v>Grace</v>
      </c>
      <c r="H17" s="17" t="str">
        <f aca="false">IF(OR(NOT(L17),O17,E17="",F17=""),"",IF(E17&gt;F17,D17,IF(F17&gt;E17,G17,"Tie")))</f>
        <v>Felix</v>
      </c>
      <c r="J17" s="19" t="n">
        <f aca="false">IF(Setup!$C$13=0,"",INT(11/((Setup!$C$13+1)/2)))</f>
        <v>2</v>
      </c>
      <c r="K17" s="19" t="n">
        <f aca="false">IF(Setup!$C$13=0,"",MOD(11,(Setup!$C$13+1)/2))</f>
        <v>3</v>
      </c>
      <c r="L17" s="20" t="b">
        <f aca="false">AND(Setup!$C$13&gt;0,J17&lt;Setup!$C$13)</f>
        <v>1</v>
      </c>
      <c r="M17" s="19" t="n">
        <f aca="false">IF(NOT(L17),"",IF(K17=0,J17,MOD(J17+K17,Setup!$C$13)))</f>
        <v>5</v>
      </c>
      <c r="N17" s="19" t="n">
        <f aca="false">IF(NOT(L17),"",IF(K17=0,Setup!$C$13,MOD(J17-K17+Setup!$C$13,Setup!$C$13)))</f>
        <v>6</v>
      </c>
      <c r="O17" s="20" t="b">
        <f aca="false">AND(L17,OR(M17&gt;=Setup!$C$12,N17&gt;=Setup!$C$12))</f>
        <v>0</v>
      </c>
      <c r="P17" s="19" t="n">
        <f aca="false">IF(AND(L17,NOT(O17),E17&lt;&gt;"",F17&lt;&gt;""),1,0)</f>
        <v>1</v>
      </c>
      <c r="Q17" s="0" t="str">
        <f aca="false">IF(L17,D17&amp;"|"&amp;G17,"")</f>
        <v>Felix|Grace</v>
      </c>
      <c r="R17" s="0" t="str">
        <f aca="false">IF(L17,G17&amp;"|"&amp;D17,"")</f>
        <v>Grace|Felix</v>
      </c>
    </row>
    <row r="18" customFormat="false" ht="15" hidden="false" customHeight="false" outlineLevel="0" collapsed="false">
      <c r="B18" s="16" t="n">
        <f aca="false">IF(L18,J18+1,"")</f>
        <v>4</v>
      </c>
      <c r="C18" s="16" t="str">
        <f aca="false">IF(NOT(L18),"",IF(O18,"Bye",IF(IF(MOD(Setup!$C$12,2)=1,K18,K18+1)&gt;Setup!$C$8,"Next free",IF(MOD(Setup!$C$12,2)=1,K18,K18+1))))</f>
        <v>Bye</v>
      </c>
      <c r="D18" s="17" t="str">
        <f aca="false">IF(NOT(L18),"",IF(M18&gt;=Setup!$C$12,"Bye",INDEX(Setup!$C$16:$C$31,M18+1)))</f>
        <v>David</v>
      </c>
      <c r="E18" s="18"/>
      <c r="F18" s="18"/>
      <c r="G18" s="17" t="str">
        <f aca="false">IF(NOT(L18),"",IF(N18&gt;=Setup!$C$12,"Bye",INDEX(Setup!$C$16:$C$31,N18+1)))</f>
        <v>Bye</v>
      </c>
      <c r="H18" s="17" t="str">
        <f aca="false">IF(OR(NOT(L18),O18,E18="",F18=""),"",IF(E18&gt;F18,D18,IF(F18&gt;E18,G18,"Tie")))</f>
        <v/>
      </c>
      <c r="J18" s="19" t="n">
        <f aca="false">IF(Setup!$C$13=0,"",INT(12/((Setup!$C$13+1)/2)))</f>
        <v>3</v>
      </c>
      <c r="K18" s="19" t="n">
        <f aca="false">IF(Setup!$C$13=0,"",MOD(12,(Setup!$C$13+1)/2))</f>
        <v>0</v>
      </c>
      <c r="L18" s="20" t="b">
        <f aca="false">AND(Setup!$C$13&gt;0,J18&lt;Setup!$C$13)</f>
        <v>1</v>
      </c>
      <c r="M18" s="19" t="n">
        <f aca="false">IF(NOT(L18),"",IF(K18=0,J18,MOD(J18+K18,Setup!$C$13)))</f>
        <v>3</v>
      </c>
      <c r="N18" s="21" t="n">
        <f aca="false">IF(NOT(L18),"",IF(K18=0,Setup!$C$13,MOD(J18-K18+Setup!$C$13,Setup!$C$13)))</f>
        <v>7</v>
      </c>
      <c r="O18" s="20" t="b">
        <f aca="false">AND(L18,OR(M18&gt;=Setup!$C$12,N18&gt;=Setup!$C$12))</f>
        <v>1</v>
      </c>
      <c r="P18" s="19" t="n">
        <f aca="false">IF(AND(L18,NOT(O18),E18&lt;&gt;"",F18&lt;&gt;""),1,0)</f>
        <v>0</v>
      </c>
      <c r="Q18" s="0" t="str">
        <f aca="false">IF(L18,D18&amp;"|"&amp;G18,"")</f>
        <v>David|Bye</v>
      </c>
      <c r="R18" s="0" t="str">
        <f aca="false">IF(L18,G18&amp;"|"&amp;D18,"")</f>
        <v>Bye|David</v>
      </c>
    </row>
    <row r="19" customFormat="false" ht="15" hidden="false" customHeight="false" outlineLevel="0" collapsed="false">
      <c r="B19" s="16" t="n">
        <f aca="false">IF(L19,J19+1,"")</f>
        <v>4</v>
      </c>
      <c r="C19" s="16" t="n">
        <f aca="false">IF(NOT(L19),"",IF(O19,"Bye",IF(IF(MOD(Setup!$C$12,2)=1,K19,K19+1)&gt;Setup!$C$8,"Next free",IF(MOD(Setup!$C$12,2)=1,K19,K19+1))))</f>
        <v>1</v>
      </c>
      <c r="D19" s="17" t="str">
        <f aca="false">IF(NOT(L19),"",IF(M19&gt;=Setup!$C$12,"Bye",INDEX(Setup!$C$16:$C$31,M19+1)))</f>
        <v>Elena</v>
      </c>
      <c r="E19" s="18"/>
      <c r="F19" s="18"/>
      <c r="G19" s="17" t="str">
        <f aca="false">IF(NOT(L19),"",IF(N19&gt;=Setup!$C$12,"Bye",INDEX(Setup!$C$16:$C$31,N19+1)))</f>
        <v>Carla</v>
      </c>
      <c r="H19" s="17" t="str">
        <f aca="false">IF(OR(NOT(L19),O19,E19="",F19=""),"",IF(E19&gt;F19,D19,IF(F19&gt;E19,G19,"Tie")))</f>
        <v/>
      </c>
      <c r="J19" s="19" t="n">
        <f aca="false">IF(Setup!$C$13=0,"",INT(13/((Setup!$C$13+1)/2)))</f>
        <v>3</v>
      </c>
      <c r="K19" s="19" t="n">
        <f aca="false">IF(Setup!$C$13=0,"",MOD(13,(Setup!$C$13+1)/2))</f>
        <v>1</v>
      </c>
      <c r="L19" s="20" t="b">
        <f aca="false">AND(Setup!$C$13&gt;0,J19&lt;Setup!$C$13)</f>
        <v>1</v>
      </c>
      <c r="M19" s="19" t="n">
        <f aca="false">IF(NOT(L19),"",IF(K19=0,J19,MOD(J19+K19,Setup!$C$13)))</f>
        <v>4</v>
      </c>
      <c r="N19" s="19" t="n">
        <f aca="false">IF(NOT(L19),"",IF(K19=0,Setup!$C$13,MOD(J19-K19+Setup!$C$13,Setup!$C$13)))</f>
        <v>2</v>
      </c>
      <c r="O19" s="20" t="b">
        <f aca="false">AND(L19,OR(M19&gt;=Setup!$C$12,N19&gt;=Setup!$C$12))</f>
        <v>0</v>
      </c>
      <c r="P19" s="19" t="n">
        <f aca="false">IF(AND(L19,NOT(O19),E19&lt;&gt;"",F19&lt;&gt;""),1,0)</f>
        <v>0</v>
      </c>
      <c r="Q19" s="0" t="str">
        <f aca="false">IF(L19,D19&amp;"|"&amp;G19,"")</f>
        <v>Elena|Carla</v>
      </c>
      <c r="R19" s="0" t="str">
        <f aca="false">IF(L19,G19&amp;"|"&amp;D19,"")</f>
        <v>Carla|Elena</v>
      </c>
    </row>
    <row r="20" customFormat="false" ht="15" hidden="false" customHeight="false" outlineLevel="0" collapsed="false">
      <c r="B20" s="16" t="n">
        <f aca="false">IF(L20,J20+1,"")</f>
        <v>4</v>
      </c>
      <c r="C20" s="16" t="n">
        <f aca="false">IF(NOT(L20),"",IF(O20,"Bye",IF(IF(MOD(Setup!$C$12,2)=1,K20,K20+1)&gt;Setup!$C$8,"Next free",IF(MOD(Setup!$C$12,2)=1,K20,K20+1))))</f>
        <v>2</v>
      </c>
      <c r="D20" s="17" t="str">
        <f aca="false">IF(NOT(L20),"",IF(M20&gt;=Setup!$C$12,"Bye",INDEX(Setup!$C$16:$C$31,M20+1)))</f>
        <v>Felix</v>
      </c>
      <c r="E20" s="18"/>
      <c r="F20" s="18"/>
      <c r="G20" s="17" t="str">
        <f aca="false">IF(NOT(L20),"",IF(N20&gt;=Setup!$C$12,"Bye",INDEX(Setup!$C$16:$C$31,N20+1)))</f>
        <v>Ben</v>
      </c>
      <c r="H20" s="17" t="str">
        <f aca="false">IF(OR(NOT(L20),O20,E20="",F20=""),"",IF(E20&gt;F20,D20,IF(F20&gt;E20,G20,"Tie")))</f>
        <v/>
      </c>
      <c r="J20" s="19" t="n">
        <f aca="false">IF(Setup!$C$13=0,"",INT(14/((Setup!$C$13+1)/2)))</f>
        <v>3</v>
      </c>
      <c r="K20" s="19" t="n">
        <f aca="false">IF(Setup!$C$13=0,"",MOD(14,(Setup!$C$13+1)/2))</f>
        <v>2</v>
      </c>
      <c r="L20" s="20" t="b">
        <f aca="false">AND(Setup!$C$13&gt;0,J20&lt;Setup!$C$13)</f>
        <v>1</v>
      </c>
      <c r="M20" s="19" t="n">
        <f aca="false">IF(NOT(L20),"",IF(K20=0,J20,MOD(J20+K20,Setup!$C$13)))</f>
        <v>5</v>
      </c>
      <c r="N20" s="19" t="n">
        <f aca="false">IF(NOT(L20),"",IF(K20=0,Setup!$C$13,MOD(J20-K20+Setup!$C$13,Setup!$C$13)))</f>
        <v>1</v>
      </c>
      <c r="O20" s="20" t="b">
        <f aca="false">AND(L20,OR(M20&gt;=Setup!$C$12,N20&gt;=Setup!$C$12))</f>
        <v>0</v>
      </c>
      <c r="P20" s="19" t="n">
        <f aca="false">IF(AND(L20,NOT(O20),E20&lt;&gt;"",F20&lt;&gt;""),1,0)</f>
        <v>0</v>
      </c>
      <c r="Q20" s="0" t="str">
        <f aca="false">IF(L20,D20&amp;"|"&amp;G20,"")</f>
        <v>Felix|Ben</v>
      </c>
      <c r="R20" s="0" t="str">
        <f aca="false">IF(L20,G20&amp;"|"&amp;D20,"")</f>
        <v>Ben|Felix</v>
      </c>
    </row>
    <row r="21" customFormat="false" ht="15" hidden="false" customHeight="false" outlineLevel="0" collapsed="false">
      <c r="B21" s="16" t="n">
        <f aca="false">IF(L21,J21+1,"")</f>
        <v>4</v>
      </c>
      <c r="C21" s="16" t="n">
        <f aca="false">IF(NOT(L21),"",IF(O21,"Bye",IF(IF(MOD(Setup!$C$12,2)=1,K21,K21+1)&gt;Setup!$C$8,"Next free",IF(MOD(Setup!$C$12,2)=1,K21,K21+1))))</f>
        <v>3</v>
      </c>
      <c r="D21" s="17" t="str">
        <f aca="false">IF(NOT(L21),"",IF(M21&gt;=Setup!$C$12,"Bye",INDEX(Setup!$C$16:$C$31,M21+1)))</f>
        <v>Grace</v>
      </c>
      <c r="E21" s="18"/>
      <c r="F21" s="18"/>
      <c r="G21" s="17" t="str">
        <f aca="false">IF(NOT(L21),"",IF(N21&gt;=Setup!$C$12,"Bye",INDEX(Setup!$C$16:$C$31,N21+1)))</f>
        <v>Anna</v>
      </c>
      <c r="H21" s="17" t="str">
        <f aca="false">IF(OR(NOT(L21),O21,E21="",F21=""),"",IF(E21&gt;F21,D21,IF(F21&gt;E21,G21,"Tie")))</f>
        <v/>
      </c>
      <c r="J21" s="19" t="n">
        <f aca="false">IF(Setup!$C$13=0,"",INT(15/((Setup!$C$13+1)/2)))</f>
        <v>3</v>
      </c>
      <c r="K21" s="19" t="n">
        <f aca="false">IF(Setup!$C$13=0,"",MOD(15,(Setup!$C$13+1)/2))</f>
        <v>3</v>
      </c>
      <c r="L21" s="20" t="b">
        <f aca="false">AND(Setup!$C$13&gt;0,J21&lt;Setup!$C$13)</f>
        <v>1</v>
      </c>
      <c r="M21" s="19" t="n">
        <f aca="false">IF(NOT(L21),"",IF(K21=0,J21,MOD(J21+K21,Setup!$C$13)))</f>
        <v>6</v>
      </c>
      <c r="N21" s="19" t="n">
        <f aca="false">IF(NOT(L21),"",IF(K21=0,Setup!$C$13,MOD(J21-K21+Setup!$C$13,Setup!$C$13)))</f>
        <v>0</v>
      </c>
      <c r="O21" s="20" t="b">
        <f aca="false">AND(L21,OR(M21&gt;=Setup!$C$12,N21&gt;=Setup!$C$12))</f>
        <v>0</v>
      </c>
      <c r="P21" s="19" t="n">
        <f aca="false">IF(AND(L21,NOT(O21),E21&lt;&gt;"",F21&lt;&gt;""),1,0)</f>
        <v>0</v>
      </c>
      <c r="Q21" s="0" t="str">
        <f aca="false">IF(L21,D21&amp;"|"&amp;G21,"")</f>
        <v>Grace|Anna</v>
      </c>
      <c r="R21" s="0" t="str">
        <f aca="false">IF(L21,G21&amp;"|"&amp;D21,"")</f>
        <v>Anna|Grace</v>
      </c>
    </row>
    <row r="22" customFormat="false" ht="15" hidden="false" customHeight="false" outlineLevel="0" collapsed="false">
      <c r="B22" s="16" t="n">
        <f aca="false">IF(L22,J22+1,"")</f>
        <v>5</v>
      </c>
      <c r="C22" s="16" t="str">
        <f aca="false">IF(NOT(L22),"",IF(O22,"Bye",IF(IF(MOD(Setup!$C$12,2)=1,K22,K22+1)&gt;Setup!$C$8,"Next free",IF(MOD(Setup!$C$12,2)=1,K22,K22+1))))</f>
        <v>Bye</v>
      </c>
      <c r="D22" s="17" t="str">
        <f aca="false">IF(NOT(L22),"",IF(M22&gt;=Setup!$C$12,"Bye",INDEX(Setup!$C$16:$C$31,M22+1)))</f>
        <v>Elena</v>
      </c>
      <c r="E22" s="18"/>
      <c r="F22" s="18"/>
      <c r="G22" s="17" t="str">
        <f aca="false">IF(NOT(L22),"",IF(N22&gt;=Setup!$C$12,"Bye",INDEX(Setup!$C$16:$C$31,N22+1)))</f>
        <v>Bye</v>
      </c>
      <c r="H22" s="17" t="str">
        <f aca="false">IF(OR(NOT(L22),O22,E22="",F22=""),"",IF(E22&gt;F22,D22,IF(F22&gt;E22,G22,"Tie")))</f>
        <v/>
      </c>
      <c r="J22" s="19" t="n">
        <f aca="false">IF(Setup!$C$13=0,"",INT(16/((Setup!$C$13+1)/2)))</f>
        <v>4</v>
      </c>
      <c r="K22" s="19" t="n">
        <f aca="false">IF(Setup!$C$13=0,"",MOD(16,(Setup!$C$13+1)/2))</f>
        <v>0</v>
      </c>
      <c r="L22" s="20" t="b">
        <f aca="false">AND(Setup!$C$13&gt;0,J22&lt;Setup!$C$13)</f>
        <v>1</v>
      </c>
      <c r="M22" s="19" t="n">
        <f aca="false">IF(NOT(L22),"",IF(K22=0,J22,MOD(J22+K22,Setup!$C$13)))</f>
        <v>4</v>
      </c>
      <c r="N22" s="21" t="n">
        <f aca="false">IF(NOT(L22),"",IF(K22=0,Setup!$C$13,MOD(J22-K22+Setup!$C$13,Setup!$C$13)))</f>
        <v>7</v>
      </c>
      <c r="O22" s="20" t="b">
        <f aca="false">AND(L22,OR(M22&gt;=Setup!$C$12,N22&gt;=Setup!$C$12))</f>
        <v>1</v>
      </c>
      <c r="P22" s="19" t="n">
        <f aca="false">IF(AND(L22,NOT(O22),E22&lt;&gt;"",F22&lt;&gt;""),1,0)</f>
        <v>0</v>
      </c>
      <c r="Q22" s="0" t="str">
        <f aca="false">IF(L22,D22&amp;"|"&amp;G22,"")</f>
        <v>Elena|Bye</v>
      </c>
      <c r="R22" s="0" t="str">
        <f aca="false">IF(L22,G22&amp;"|"&amp;D22,"")</f>
        <v>Bye|Elena</v>
      </c>
    </row>
    <row r="23" customFormat="false" ht="15" hidden="false" customHeight="false" outlineLevel="0" collapsed="false">
      <c r="B23" s="16" t="n">
        <f aca="false">IF(L23,J23+1,"")</f>
        <v>5</v>
      </c>
      <c r="C23" s="16" t="n">
        <f aca="false">IF(NOT(L23),"",IF(O23,"Bye",IF(IF(MOD(Setup!$C$12,2)=1,K23,K23+1)&gt;Setup!$C$8,"Next free",IF(MOD(Setup!$C$12,2)=1,K23,K23+1))))</f>
        <v>1</v>
      </c>
      <c r="D23" s="17" t="str">
        <f aca="false">IF(NOT(L23),"",IF(M23&gt;=Setup!$C$12,"Bye",INDEX(Setup!$C$16:$C$31,M23+1)))</f>
        <v>Felix</v>
      </c>
      <c r="E23" s="18"/>
      <c r="F23" s="18"/>
      <c r="G23" s="17" t="str">
        <f aca="false">IF(NOT(L23),"",IF(N23&gt;=Setup!$C$12,"Bye",INDEX(Setup!$C$16:$C$31,N23+1)))</f>
        <v>David</v>
      </c>
      <c r="H23" s="17" t="str">
        <f aca="false">IF(OR(NOT(L23),O23,E23="",F23=""),"",IF(E23&gt;F23,D23,IF(F23&gt;E23,G23,"Tie")))</f>
        <v/>
      </c>
      <c r="J23" s="19" t="n">
        <f aca="false">IF(Setup!$C$13=0,"",INT(17/((Setup!$C$13+1)/2)))</f>
        <v>4</v>
      </c>
      <c r="K23" s="19" t="n">
        <f aca="false">IF(Setup!$C$13=0,"",MOD(17,(Setup!$C$13+1)/2))</f>
        <v>1</v>
      </c>
      <c r="L23" s="20" t="b">
        <f aca="false">AND(Setup!$C$13&gt;0,J23&lt;Setup!$C$13)</f>
        <v>1</v>
      </c>
      <c r="M23" s="19" t="n">
        <f aca="false">IF(NOT(L23),"",IF(K23=0,J23,MOD(J23+K23,Setup!$C$13)))</f>
        <v>5</v>
      </c>
      <c r="N23" s="19" t="n">
        <f aca="false">IF(NOT(L23),"",IF(K23=0,Setup!$C$13,MOD(J23-K23+Setup!$C$13,Setup!$C$13)))</f>
        <v>3</v>
      </c>
      <c r="O23" s="20" t="b">
        <f aca="false">AND(L23,OR(M23&gt;=Setup!$C$12,N23&gt;=Setup!$C$12))</f>
        <v>0</v>
      </c>
      <c r="P23" s="19" t="n">
        <f aca="false">IF(AND(L23,NOT(O23),E23&lt;&gt;"",F23&lt;&gt;""),1,0)</f>
        <v>0</v>
      </c>
      <c r="Q23" s="0" t="str">
        <f aca="false">IF(L23,D23&amp;"|"&amp;G23,"")</f>
        <v>Felix|David</v>
      </c>
      <c r="R23" s="0" t="str">
        <f aca="false">IF(L23,G23&amp;"|"&amp;D23,"")</f>
        <v>David|Felix</v>
      </c>
    </row>
    <row r="24" customFormat="false" ht="15" hidden="false" customHeight="false" outlineLevel="0" collapsed="false">
      <c r="B24" s="16" t="n">
        <f aca="false">IF(L24,J24+1,"")</f>
        <v>5</v>
      </c>
      <c r="C24" s="16" t="n">
        <f aca="false">IF(NOT(L24),"",IF(O24,"Bye",IF(IF(MOD(Setup!$C$12,2)=1,K24,K24+1)&gt;Setup!$C$8,"Next free",IF(MOD(Setup!$C$12,2)=1,K24,K24+1))))</f>
        <v>2</v>
      </c>
      <c r="D24" s="17" t="str">
        <f aca="false">IF(NOT(L24),"",IF(M24&gt;=Setup!$C$12,"Bye",INDEX(Setup!$C$16:$C$31,M24+1)))</f>
        <v>Grace</v>
      </c>
      <c r="E24" s="18"/>
      <c r="F24" s="18"/>
      <c r="G24" s="17" t="str">
        <f aca="false">IF(NOT(L24),"",IF(N24&gt;=Setup!$C$12,"Bye",INDEX(Setup!$C$16:$C$31,N24+1)))</f>
        <v>Carla</v>
      </c>
      <c r="H24" s="17" t="str">
        <f aca="false">IF(OR(NOT(L24),O24,E24="",F24=""),"",IF(E24&gt;F24,D24,IF(F24&gt;E24,G24,"Tie")))</f>
        <v/>
      </c>
      <c r="J24" s="19" t="n">
        <f aca="false">IF(Setup!$C$13=0,"",INT(18/((Setup!$C$13+1)/2)))</f>
        <v>4</v>
      </c>
      <c r="K24" s="19" t="n">
        <f aca="false">IF(Setup!$C$13=0,"",MOD(18,(Setup!$C$13+1)/2))</f>
        <v>2</v>
      </c>
      <c r="L24" s="20" t="b">
        <f aca="false">AND(Setup!$C$13&gt;0,J24&lt;Setup!$C$13)</f>
        <v>1</v>
      </c>
      <c r="M24" s="19" t="n">
        <f aca="false">IF(NOT(L24),"",IF(K24=0,J24,MOD(J24+K24,Setup!$C$13)))</f>
        <v>6</v>
      </c>
      <c r="N24" s="19" t="n">
        <f aca="false">IF(NOT(L24),"",IF(K24=0,Setup!$C$13,MOD(J24-K24+Setup!$C$13,Setup!$C$13)))</f>
        <v>2</v>
      </c>
      <c r="O24" s="20" t="b">
        <f aca="false">AND(L24,OR(M24&gt;=Setup!$C$12,N24&gt;=Setup!$C$12))</f>
        <v>0</v>
      </c>
      <c r="P24" s="19" t="n">
        <f aca="false">IF(AND(L24,NOT(O24),E24&lt;&gt;"",F24&lt;&gt;""),1,0)</f>
        <v>0</v>
      </c>
      <c r="Q24" s="0" t="str">
        <f aca="false">IF(L24,D24&amp;"|"&amp;G24,"")</f>
        <v>Grace|Carla</v>
      </c>
      <c r="R24" s="0" t="str">
        <f aca="false">IF(L24,G24&amp;"|"&amp;D24,"")</f>
        <v>Carla|Grace</v>
      </c>
    </row>
    <row r="25" customFormat="false" ht="15" hidden="false" customHeight="false" outlineLevel="0" collapsed="false">
      <c r="B25" s="16" t="n">
        <f aca="false">IF(L25,J25+1,"")</f>
        <v>5</v>
      </c>
      <c r="C25" s="16" t="n">
        <f aca="false">IF(NOT(L25),"",IF(O25,"Bye",IF(IF(MOD(Setup!$C$12,2)=1,K25,K25+1)&gt;Setup!$C$8,"Next free",IF(MOD(Setup!$C$12,2)=1,K25,K25+1))))</f>
        <v>3</v>
      </c>
      <c r="D25" s="17" t="str">
        <f aca="false">IF(NOT(L25),"",IF(M25&gt;=Setup!$C$12,"Bye",INDEX(Setup!$C$16:$C$31,M25+1)))</f>
        <v>Anna</v>
      </c>
      <c r="E25" s="18"/>
      <c r="F25" s="18"/>
      <c r="G25" s="17" t="str">
        <f aca="false">IF(NOT(L25),"",IF(N25&gt;=Setup!$C$12,"Bye",INDEX(Setup!$C$16:$C$31,N25+1)))</f>
        <v>Ben</v>
      </c>
      <c r="H25" s="17" t="str">
        <f aca="false">IF(OR(NOT(L25),O25,E25="",F25=""),"",IF(E25&gt;F25,D25,IF(F25&gt;E25,G25,"Tie")))</f>
        <v/>
      </c>
      <c r="J25" s="19" t="n">
        <f aca="false">IF(Setup!$C$13=0,"",INT(19/((Setup!$C$13+1)/2)))</f>
        <v>4</v>
      </c>
      <c r="K25" s="19" t="n">
        <f aca="false">IF(Setup!$C$13=0,"",MOD(19,(Setup!$C$13+1)/2))</f>
        <v>3</v>
      </c>
      <c r="L25" s="20" t="b">
        <f aca="false">AND(Setup!$C$13&gt;0,J25&lt;Setup!$C$13)</f>
        <v>1</v>
      </c>
      <c r="M25" s="19" t="n">
        <f aca="false">IF(NOT(L25),"",IF(K25=0,J25,MOD(J25+K25,Setup!$C$13)))</f>
        <v>0</v>
      </c>
      <c r="N25" s="19" t="n">
        <f aca="false">IF(NOT(L25),"",IF(K25=0,Setup!$C$13,MOD(J25-K25+Setup!$C$13,Setup!$C$13)))</f>
        <v>1</v>
      </c>
      <c r="O25" s="20" t="b">
        <f aca="false">AND(L25,OR(M25&gt;=Setup!$C$12,N25&gt;=Setup!$C$12))</f>
        <v>0</v>
      </c>
      <c r="P25" s="19" t="n">
        <f aca="false">IF(AND(L25,NOT(O25),E25&lt;&gt;"",F25&lt;&gt;""),1,0)</f>
        <v>0</v>
      </c>
      <c r="Q25" s="0" t="str">
        <f aca="false">IF(L25,D25&amp;"|"&amp;G25,"")</f>
        <v>Anna|Ben</v>
      </c>
      <c r="R25" s="0" t="str">
        <f aca="false">IF(L25,G25&amp;"|"&amp;D25,"")</f>
        <v>Ben|Anna</v>
      </c>
    </row>
    <row r="26" customFormat="false" ht="15" hidden="false" customHeight="false" outlineLevel="0" collapsed="false">
      <c r="B26" s="16" t="n">
        <f aca="false">IF(L26,J26+1,"")</f>
        <v>6</v>
      </c>
      <c r="C26" s="16" t="str">
        <f aca="false">IF(NOT(L26),"",IF(O26,"Bye",IF(IF(MOD(Setup!$C$12,2)=1,K26,K26+1)&gt;Setup!$C$8,"Next free",IF(MOD(Setup!$C$12,2)=1,K26,K26+1))))</f>
        <v>Bye</v>
      </c>
      <c r="D26" s="17" t="str">
        <f aca="false">IF(NOT(L26),"",IF(M26&gt;=Setup!$C$12,"Bye",INDEX(Setup!$C$16:$C$31,M26+1)))</f>
        <v>Felix</v>
      </c>
      <c r="E26" s="18"/>
      <c r="F26" s="18"/>
      <c r="G26" s="17" t="str">
        <f aca="false">IF(NOT(L26),"",IF(N26&gt;=Setup!$C$12,"Bye",INDEX(Setup!$C$16:$C$31,N26+1)))</f>
        <v>Bye</v>
      </c>
      <c r="H26" s="17" t="str">
        <f aca="false">IF(OR(NOT(L26),O26,E26="",F26=""),"",IF(E26&gt;F26,D26,IF(F26&gt;E26,G26,"Tie")))</f>
        <v/>
      </c>
      <c r="J26" s="19" t="n">
        <f aca="false">IF(Setup!$C$13=0,"",INT(20/((Setup!$C$13+1)/2)))</f>
        <v>5</v>
      </c>
      <c r="K26" s="19" t="n">
        <f aca="false">IF(Setup!$C$13=0,"",MOD(20,(Setup!$C$13+1)/2))</f>
        <v>0</v>
      </c>
      <c r="L26" s="20" t="b">
        <f aca="false">AND(Setup!$C$13&gt;0,J26&lt;Setup!$C$13)</f>
        <v>1</v>
      </c>
      <c r="M26" s="19" t="n">
        <f aca="false">IF(NOT(L26),"",IF(K26=0,J26,MOD(J26+K26,Setup!$C$13)))</f>
        <v>5</v>
      </c>
      <c r="N26" s="21" t="n">
        <f aca="false">IF(NOT(L26),"",IF(K26=0,Setup!$C$13,MOD(J26-K26+Setup!$C$13,Setup!$C$13)))</f>
        <v>7</v>
      </c>
      <c r="O26" s="20" t="b">
        <f aca="false">AND(L26,OR(M26&gt;=Setup!$C$12,N26&gt;=Setup!$C$12))</f>
        <v>1</v>
      </c>
      <c r="P26" s="19" t="n">
        <f aca="false">IF(AND(L26,NOT(O26),E26&lt;&gt;"",F26&lt;&gt;""),1,0)</f>
        <v>0</v>
      </c>
      <c r="Q26" s="0" t="str">
        <f aca="false">IF(L26,D26&amp;"|"&amp;G26,"")</f>
        <v>Felix|Bye</v>
      </c>
      <c r="R26" s="0" t="str">
        <f aca="false">IF(L26,G26&amp;"|"&amp;D26,"")</f>
        <v>Bye|Felix</v>
      </c>
    </row>
    <row r="27" customFormat="false" ht="15" hidden="false" customHeight="false" outlineLevel="0" collapsed="false">
      <c r="B27" s="16" t="n">
        <f aca="false">IF(L27,J27+1,"")</f>
        <v>6</v>
      </c>
      <c r="C27" s="16" t="n">
        <f aca="false">IF(NOT(L27),"",IF(O27,"Bye",IF(IF(MOD(Setup!$C$12,2)=1,K27,K27+1)&gt;Setup!$C$8,"Next free",IF(MOD(Setup!$C$12,2)=1,K27,K27+1))))</f>
        <v>1</v>
      </c>
      <c r="D27" s="17" t="str">
        <f aca="false">IF(NOT(L27),"",IF(M27&gt;=Setup!$C$12,"Bye",INDEX(Setup!$C$16:$C$31,M27+1)))</f>
        <v>Grace</v>
      </c>
      <c r="E27" s="18"/>
      <c r="F27" s="18"/>
      <c r="G27" s="17" t="str">
        <f aca="false">IF(NOT(L27),"",IF(N27&gt;=Setup!$C$12,"Bye",INDEX(Setup!$C$16:$C$31,N27+1)))</f>
        <v>Elena</v>
      </c>
      <c r="H27" s="17" t="str">
        <f aca="false">IF(OR(NOT(L27),O27,E27="",F27=""),"",IF(E27&gt;F27,D27,IF(F27&gt;E27,G27,"Tie")))</f>
        <v/>
      </c>
      <c r="J27" s="19" t="n">
        <f aca="false">IF(Setup!$C$13=0,"",INT(21/((Setup!$C$13+1)/2)))</f>
        <v>5</v>
      </c>
      <c r="K27" s="19" t="n">
        <f aca="false">IF(Setup!$C$13=0,"",MOD(21,(Setup!$C$13+1)/2))</f>
        <v>1</v>
      </c>
      <c r="L27" s="20" t="b">
        <f aca="false">AND(Setup!$C$13&gt;0,J27&lt;Setup!$C$13)</f>
        <v>1</v>
      </c>
      <c r="M27" s="19" t="n">
        <f aca="false">IF(NOT(L27),"",IF(K27=0,J27,MOD(J27+K27,Setup!$C$13)))</f>
        <v>6</v>
      </c>
      <c r="N27" s="19" t="n">
        <f aca="false">IF(NOT(L27),"",IF(K27=0,Setup!$C$13,MOD(J27-K27+Setup!$C$13,Setup!$C$13)))</f>
        <v>4</v>
      </c>
      <c r="O27" s="20" t="b">
        <f aca="false">AND(L27,OR(M27&gt;=Setup!$C$12,N27&gt;=Setup!$C$12))</f>
        <v>0</v>
      </c>
      <c r="P27" s="19" t="n">
        <f aca="false">IF(AND(L27,NOT(O27),E27&lt;&gt;"",F27&lt;&gt;""),1,0)</f>
        <v>0</v>
      </c>
      <c r="Q27" s="0" t="str">
        <f aca="false">IF(L27,D27&amp;"|"&amp;G27,"")</f>
        <v>Grace|Elena</v>
      </c>
      <c r="R27" s="0" t="str">
        <f aca="false">IF(L27,G27&amp;"|"&amp;D27,"")</f>
        <v>Elena|Grace</v>
      </c>
    </row>
    <row r="28" customFormat="false" ht="15" hidden="false" customHeight="false" outlineLevel="0" collapsed="false">
      <c r="B28" s="16" t="n">
        <f aca="false">IF(L28,J28+1,"")</f>
        <v>6</v>
      </c>
      <c r="C28" s="16" t="n">
        <f aca="false">IF(NOT(L28),"",IF(O28,"Bye",IF(IF(MOD(Setup!$C$12,2)=1,K28,K28+1)&gt;Setup!$C$8,"Next free",IF(MOD(Setup!$C$12,2)=1,K28,K28+1))))</f>
        <v>2</v>
      </c>
      <c r="D28" s="17" t="str">
        <f aca="false">IF(NOT(L28),"",IF(M28&gt;=Setup!$C$12,"Bye",INDEX(Setup!$C$16:$C$31,M28+1)))</f>
        <v>Anna</v>
      </c>
      <c r="E28" s="18"/>
      <c r="F28" s="18"/>
      <c r="G28" s="17" t="str">
        <f aca="false">IF(NOT(L28),"",IF(N28&gt;=Setup!$C$12,"Bye",INDEX(Setup!$C$16:$C$31,N28+1)))</f>
        <v>David</v>
      </c>
      <c r="H28" s="17" t="str">
        <f aca="false">IF(OR(NOT(L28),O28,E28="",F28=""),"",IF(E28&gt;F28,D28,IF(F28&gt;E28,G28,"Tie")))</f>
        <v/>
      </c>
      <c r="J28" s="19" t="n">
        <f aca="false">IF(Setup!$C$13=0,"",INT(22/((Setup!$C$13+1)/2)))</f>
        <v>5</v>
      </c>
      <c r="K28" s="19" t="n">
        <f aca="false">IF(Setup!$C$13=0,"",MOD(22,(Setup!$C$13+1)/2))</f>
        <v>2</v>
      </c>
      <c r="L28" s="20" t="b">
        <f aca="false">AND(Setup!$C$13&gt;0,J28&lt;Setup!$C$13)</f>
        <v>1</v>
      </c>
      <c r="M28" s="19" t="n">
        <f aca="false">IF(NOT(L28),"",IF(K28=0,J28,MOD(J28+K28,Setup!$C$13)))</f>
        <v>0</v>
      </c>
      <c r="N28" s="19" t="n">
        <f aca="false">IF(NOT(L28),"",IF(K28=0,Setup!$C$13,MOD(J28-K28+Setup!$C$13,Setup!$C$13)))</f>
        <v>3</v>
      </c>
      <c r="O28" s="20" t="b">
        <f aca="false">AND(L28,OR(M28&gt;=Setup!$C$12,N28&gt;=Setup!$C$12))</f>
        <v>0</v>
      </c>
      <c r="P28" s="19" t="n">
        <f aca="false">IF(AND(L28,NOT(O28),E28&lt;&gt;"",F28&lt;&gt;""),1,0)</f>
        <v>0</v>
      </c>
      <c r="Q28" s="0" t="str">
        <f aca="false">IF(L28,D28&amp;"|"&amp;G28,"")</f>
        <v>Anna|David</v>
      </c>
      <c r="R28" s="0" t="str">
        <f aca="false">IF(L28,G28&amp;"|"&amp;D28,"")</f>
        <v>David|Anna</v>
      </c>
    </row>
    <row r="29" customFormat="false" ht="15" hidden="false" customHeight="false" outlineLevel="0" collapsed="false">
      <c r="B29" s="16" t="n">
        <f aca="false">IF(L29,J29+1,"")</f>
        <v>6</v>
      </c>
      <c r="C29" s="16" t="n">
        <f aca="false">IF(NOT(L29),"",IF(O29,"Bye",IF(IF(MOD(Setup!$C$12,2)=1,K29,K29+1)&gt;Setup!$C$8,"Next free",IF(MOD(Setup!$C$12,2)=1,K29,K29+1))))</f>
        <v>3</v>
      </c>
      <c r="D29" s="17" t="str">
        <f aca="false">IF(NOT(L29),"",IF(M29&gt;=Setup!$C$12,"Bye",INDEX(Setup!$C$16:$C$31,M29+1)))</f>
        <v>Ben</v>
      </c>
      <c r="E29" s="18"/>
      <c r="F29" s="18"/>
      <c r="G29" s="17" t="str">
        <f aca="false">IF(NOT(L29),"",IF(N29&gt;=Setup!$C$12,"Bye",INDEX(Setup!$C$16:$C$31,N29+1)))</f>
        <v>Carla</v>
      </c>
      <c r="H29" s="17" t="str">
        <f aca="false">IF(OR(NOT(L29),O29,E29="",F29=""),"",IF(E29&gt;F29,D29,IF(F29&gt;E29,G29,"Tie")))</f>
        <v/>
      </c>
      <c r="J29" s="19" t="n">
        <f aca="false">IF(Setup!$C$13=0,"",INT(23/((Setup!$C$13+1)/2)))</f>
        <v>5</v>
      </c>
      <c r="K29" s="19" t="n">
        <f aca="false">IF(Setup!$C$13=0,"",MOD(23,(Setup!$C$13+1)/2))</f>
        <v>3</v>
      </c>
      <c r="L29" s="20" t="b">
        <f aca="false">AND(Setup!$C$13&gt;0,J29&lt;Setup!$C$13)</f>
        <v>1</v>
      </c>
      <c r="M29" s="19" t="n">
        <f aca="false">IF(NOT(L29),"",IF(K29=0,J29,MOD(J29+K29,Setup!$C$13)))</f>
        <v>1</v>
      </c>
      <c r="N29" s="19" t="n">
        <f aca="false">IF(NOT(L29),"",IF(K29=0,Setup!$C$13,MOD(J29-K29+Setup!$C$13,Setup!$C$13)))</f>
        <v>2</v>
      </c>
      <c r="O29" s="20" t="b">
        <f aca="false">AND(L29,OR(M29&gt;=Setup!$C$12,N29&gt;=Setup!$C$12))</f>
        <v>0</v>
      </c>
      <c r="P29" s="19" t="n">
        <f aca="false">IF(AND(L29,NOT(O29),E29&lt;&gt;"",F29&lt;&gt;""),1,0)</f>
        <v>0</v>
      </c>
      <c r="Q29" s="0" t="str">
        <f aca="false">IF(L29,D29&amp;"|"&amp;G29,"")</f>
        <v>Ben|Carla</v>
      </c>
      <c r="R29" s="0" t="str">
        <f aca="false">IF(L29,G29&amp;"|"&amp;D29,"")</f>
        <v>Carla|Ben</v>
      </c>
    </row>
    <row r="30" customFormat="false" ht="15" hidden="false" customHeight="false" outlineLevel="0" collapsed="false">
      <c r="B30" s="16" t="n">
        <f aca="false">IF(L30,J30+1,"")</f>
        <v>7</v>
      </c>
      <c r="C30" s="16" t="str">
        <f aca="false">IF(NOT(L30),"",IF(O30,"Bye",IF(IF(MOD(Setup!$C$12,2)=1,K30,K30+1)&gt;Setup!$C$8,"Next free",IF(MOD(Setup!$C$12,2)=1,K30,K30+1))))</f>
        <v>Bye</v>
      </c>
      <c r="D30" s="17" t="str">
        <f aca="false">IF(NOT(L30),"",IF(M30&gt;=Setup!$C$12,"Bye",INDEX(Setup!$C$16:$C$31,M30+1)))</f>
        <v>Grace</v>
      </c>
      <c r="E30" s="18"/>
      <c r="F30" s="18"/>
      <c r="G30" s="17" t="str">
        <f aca="false">IF(NOT(L30),"",IF(N30&gt;=Setup!$C$12,"Bye",INDEX(Setup!$C$16:$C$31,N30+1)))</f>
        <v>Bye</v>
      </c>
      <c r="H30" s="17" t="str">
        <f aca="false">IF(OR(NOT(L30),O30,E30="",F30=""),"",IF(E30&gt;F30,D30,IF(F30&gt;E30,G30,"Tie")))</f>
        <v/>
      </c>
      <c r="J30" s="19" t="n">
        <f aca="false">IF(Setup!$C$13=0,"",INT(24/((Setup!$C$13+1)/2)))</f>
        <v>6</v>
      </c>
      <c r="K30" s="19" t="n">
        <f aca="false">IF(Setup!$C$13=0,"",MOD(24,(Setup!$C$13+1)/2))</f>
        <v>0</v>
      </c>
      <c r="L30" s="20" t="b">
        <f aca="false">AND(Setup!$C$13&gt;0,J30&lt;Setup!$C$13)</f>
        <v>1</v>
      </c>
      <c r="M30" s="19" t="n">
        <f aca="false">IF(NOT(L30),"",IF(K30=0,J30,MOD(J30+K30,Setup!$C$13)))</f>
        <v>6</v>
      </c>
      <c r="N30" s="21" t="n">
        <f aca="false">IF(NOT(L30),"",IF(K30=0,Setup!$C$13,MOD(J30-K30+Setup!$C$13,Setup!$C$13)))</f>
        <v>7</v>
      </c>
      <c r="O30" s="20" t="b">
        <f aca="false">AND(L30,OR(M30&gt;=Setup!$C$12,N30&gt;=Setup!$C$12))</f>
        <v>1</v>
      </c>
      <c r="P30" s="19" t="n">
        <f aca="false">IF(AND(L30,NOT(O30),E30&lt;&gt;"",F30&lt;&gt;""),1,0)</f>
        <v>0</v>
      </c>
      <c r="Q30" s="0" t="str">
        <f aca="false">IF(L30,D30&amp;"|"&amp;G30,"")</f>
        <v>Grace|Bye</v>
      </c>
      <c r="R30" s="0" t="str">
        <f aca="false">IF(L30,G30&amp;"|"&amp;D30,"")</f>
        <v>Bye|Grace</v>
      </c>
    </row>
    <row r="31" customFormat="false" ht="15" hidden="false" customHeight="false" outlineLevel="0" collapsed="false">
      <c r="B31" s="16" t="n">
        <f aca="false">IF(L31,J31+1,"")</f>
        <v>7</v>
      </c>
      <c r="C31" s="16" t="n">
        <f aca="false">IF(NOT(L31),"",IF(O31,"Bye",IF(IF(MOD(Setup!$C$12,2)=1,K31,K31+1)&gt;Setup!$C$8,"Next free",IF(MOD(Setup!$C$12,2)=1,K31,K31+1))))</f>
        <v>1</v>
      </c>
      <c r="D31" s="17" t="str">
        <f aca="false">IF(NOT(L31),"",IF(M31&gt;=Setup!$C$12,"Bye",INDEX(Setup!$C$16:$C$31,M31+1)))</f>
        <v>Anna</v>
      </c>
      <c r="E31" s="18"/>
      <c r="F31" s="18"/>
      <c r="G31" s="17" t="str">
        <f aca="false">IF(NOT(L31),"",IF(N31&gt;=Setup!$C$12,"Bye",INDEX(Setup!$C$16:$C$31,N31+1)))</f>
        <v>Felix</v>
      </c>
      <c r="H31" s="17" t="str">
        <f aca="false">IF(OR(NOT(L31),O31,E31="",F31=""),"",IF(E31&gt;F31,D31,IF(F31&gt;E31,G31,"Tie")))</f>
        <v/>
      </c>
      <c r="J31" s="19" t="n">
        <f aca="false">IF(Setup!$C$13=0,"",INT(25/((Setup!$C$13+1)/2)))</f>
        <v>6</v>
      </c>
      <c r="K31" s="19" t="n">
        <f aca="false">IF(Setup!$C$13=0,"",MOD(25,(Setup!$C$13+1)/2))</f>
        <v>1</v>
      </c>
      <c r="L31" s="20" t="b">
        <f aca="false">AND(Setup!$C$13&gt;0,J31&lt;Setup!$C$13)</f>
        <v>1</v>
      </c>
      <c r="M31" s="19" t="n">
        <f aca="false">IF(NOT(L31),"",IF(K31=0,J31,MOD(J31+K31,Setup!$C$13)))</f>
        <v>0</v>
      </c>
      <c r="N31" s="19" t="n">
        <f aca="false">IF(NOT(L31),"",IF(K31=0,Setup!$C$13,MOD(J31-K31+Setup!$C$13,Setup!$C$13)))</f>
        <v>5</v>
      </c>
      <c r="O31" s="20" t="b">
        <f aca="false">AND(L31,OR(M31&gt;=Setup!$C$12,N31&gt;=Setup!$C$12))</f>
        <v>0</v>
      </c>
      <c r="P31" s="19" t="n">
        <f aca="false">IF(AND(L31,NOT(O31),E31&lt;&gt;"",F31&lt;&gt;""),1,0)</f>
        <v>0</v>
      </c>
      <c r="Q31" s="0" t="str">
        <f aca="false">IF(L31,D31&amp;"|"&amp;G31,"")</f>
        <v>Anna|Felix</v>
      </c>
      <c r="R31" s="0" t="str">
        <f aca="false">IF(L31,G31&amp;"|"&amp;D31,"")</f>
        <v>Felix|Anna</v>
      </c>
    </row>
    <row r="32" customFormat="false" ht="15" hidden="false" customHeight="false" outlineLevel="0" collapsed="false">
      <c r="B32" s="16" t="n">
        <f aca="false">IF(L32,J32+1,"")</f>
        <v>7</v>
      </c>
      <c r="C32" s="16" t="n">
        <f aca="false">IF(NOT(L32),"",IF(O32,"Bye",IF(IF(MOD(Setup!$C$12,2)=1,K32,K32+1)&gt;Setup!$C$8,"Next free",IF(MOD(Setup!$C$12,2)=1,K32,K32+1))))</f>
        <v>2</v>
      </c>
      <c r="D32" s="17" t="str">
        <f aca="false">IF(NOT(L32),"",IF(M32&gt;=Setup!$C$12,"Bye",INDEX(Setup!$C$16:$C$31,M32+1)))</f>
        <v>Ben</v>
      </c>
      <c r="E32" s="18"/>
      <c r="F32" s="18"/>
      <c r="G32" s="17" t="str">
        <f aca="false">IF(NOT(L32),"",IF(N32&gt;=Setup!$C$12,"Bye",INDEX(Setup!$C$16:$C$31,N32+1)))</f>
        <v>Elena</v>
      </c>
      <c r="H32" s="17" t="str">
        <f aca="false">IF(OR(NOT(L32),O32,E32="",F32=""),"",IF(E32&gt;F32,D32,IF(F32&gt;E32,G32,"Tie")))</f>
        <v/>
      </c>
      <c r="J32" s="19" t="n">
        <f aca="false">IF(Setup!$C$13=0,"",INT(26/((Setup!$C$13+1)/2)))</f>
        <v>6</v>
      </c>
      <c r="K32" s="19" t="n">
        <f aca="false">IF(Setup!$C$13=0,"",MOD(26,(Setup!$C$13+1)/2))</f>
        <v>2</v>
      </c>
      <c r="L32" s="20" t="b">
        <f aca="false">AND(Setup!$C$13&gt;0,J32&lt;Setup!$C$13)</f>
        <v>1</v>
      </c>
      <c r="M32" s="19" t="n">
        <f aca="false">IF(NOT(L32),"",IF(K32=0,J32,MOD(J32+K32,Setup!$C$13)))</f>
        <v>1</v>
      </c>
      <c r="N32" s="19" t="n">
        <f aca="false">IF(NOT(L32),"",IF(K32=0,Setup!$C$13,MOD(J32-K32+Setup!$C$13,Setup!$C$13)))</f>
        <v>4</v>
      </c>
      <c r="O32" s="20" t="b">
        <f aca="false">AND(L32,OR(M32&gt;=Setup!$C$12,N32&gt;=Setup!$C$12))</f>
        <v>0</v>
      </c>
      <c r="P32" s="19" t="n">
        <f aca="false">IF(AND(L32,NOT(O32),E32&lt;&gt;"",F32&lt;&gt;""),1,0)</f>
        <v>0</v>
      </c>
      <c r="Q32" s="0" t="str">
        <f aca="false">IF(L32,D32&amp;"|"&amp;G32,"")</f>
        <v>Ben|Elena</v>
      </c>
      <c r="R32" s="0" t="str">
        <f aca="false">IF(L32,G32&amp;"|"&amp;D32,"")</f>
        <v>Elena|Ben</v>
      </c>
    </row>
    <row r="33" customFormat="false" ht="15" hidden="false" customHeight="false" outlineLevel="0" collapsed="false">
      <c r="B33" s="16" t="n">
        <f aca="false">IF(L33,J33+1,"")</f>
        <v>7</v>
      </c>
      <c r="C33" s="16" t="n">
        <f aca="false">IF(NOT(L33),"",IF(O33,"Bye",IF(IF(MOD(Setup!$C$12,2)=1,K33,K33+1)&gt;Setup!$C$8,"Next free",IF(MOD(Setup!$C$12,2)=1,K33,K33+1))))</f>
        <v>3</v>
      </c>
      <c r="D33" s="17" t="str">
        <f aca="false">IF(NOT(L33),"",IF(M33&gt;=Setup!$C$12,"Bye",INDEX(Setup!$C$16:$C$31,M33+1)))</f>
        <v>Carla</v>
      </c>
      <c r="E33" s="18"/>
      <c r="F33" s="18"/>
      <c r="G33" s="17" t="str">
        <f aca="false">IF(NOT(L33),"",IF(N33&gt;=Setup!$C$12,"Bye",INDEX(Setup!$C$16:$C$31,N33+1)))</f>
        <v>David</v>
      </c>
      <c r="H33" s="17" t="str">
        <f aca="false">IF(OR(NOT(L33),O33,E33="",F33=""),"",IF(E33&gt;F33,D33,IF(F33&gt;E33,G33,"Tie")))</f>
        <v/>
      </c>
      <c r="J33" s="19" t="n">
        <f aca="false">IF(Setup!$C$13=0,"",INT(27/((Setup!$C$13+1)/2)))</f>
        <v>6</v>
      </c>
      <c r="K33" s="19" t="n">
        <f aca="false">IF(Setup!$C$13=0,"",MOD(27,(Setup!$C$13+1)/2))</f>
        <v>3</v>
      </c>
      <c r="L33" s="20" t="b">
        <f aca="false">AND(Setup!$C$13&gt;0,J33&lt;Setup!$C$13)</f>
        <v>1</v>
      </c>
      <c r="M33" s="19" t="n">
        <f aca="false">IF(NOT(L33),"",IF(K33=0,J33,MOD(J33+K33,Setup!$C$13)))</f>
        <v>2</v>
      </c>
      <c r="N33" s="19" t="n">
        <f aca="false">IF(NOT(L33),"",IF(K33=0,Setup!$C$13,MOD(J33-K33+Setup!$C$13,Setup!$C$13)))</f>
        <v>3</v>
      </c>
      <c r="O33" s="20" t="b">
        <f aca="false">AND(L33,OR(M33&gt;=Setup!$C$12,N33&gt;=Setup!$C$12))</f>
        <v>0</v>
      </c>
      <c r="P33" s="19" t="n">
        <f aca="false">IF(AND(L33,NOT(O33),E33&lt;&gt;"",F33&lt;&gt;""),1,0)</f>
        <v>0</v>
      </c>
      <c r="Q33" s="0" t="str">
        <f aca="false">IF(L33,D33&amp;"|"&amp;G33,"")</f>
        <v>Carla|David</v>
      </c>
      <c r="R33" s="0" t="str">
        <f aca="false">IF(L33,G33&amp;"|"&amp;D33,"")</f>
        <v>David|Carla</v>
      </c>
    </row>
    <row r="34" customFormat="false" ht="15" hidden="false" customHeight="false" outlineLevel="0" collapsed="false">
      <c r="B34" s="16" t="str">
        <f aca="false">IF(L34,J34+1,"")</f>
        <v/>
      </c>
      <c r="C34" s="16" t="str">
        <f aca="false">IF(NOT(L34),"",IF(O34,"Bye",IF(IF(MOD(Setup!$C$12,2)=1,K34,K34+1)&gt;Setup!$C$8,"Next free",IF(MOD(Setup!$C$12,2)=1,K34,K34+1))))</f>
        <v/>
      </c>
      <c r="D34" s="17" t="str">
        <f aca="false">IF(NOT(L34),"",IF(M34&gt;=Setup!$C$12,"Bye",INDEX(Setup!$C$16:$C$31,M34+1)))</f>
        <v/>
      </c>
      <c r="E34" s="18"/>
      <c r="F34" s="18"/>
      <c r="G34" s="17" t="str">
        <f aca="false">IF(NOT(L34),"",IF(N34&gt;=Setup!$C$12,"Bye",INDEX(Setup!$C$16:$C$31,N34+1)))</f>
        <v/>
      </c>
      <c r="H34" s="17" t="str">
        <f aca="false">IF(OR(NOT(L34),O34,E34="",F34=""),"",IF(E34&gt;F34,D34,IF(F34&gt;E34,G34,"Tie")))</f>
        <v/>
      </c>
      <c r="J34" s="19" t="n">
        <f aca="false">IF(Setup!$C$13=0,"",INT(28/((Setup!$C$13+1)/2)))</f>
        <v>7</v>
      </c>
      <c r="K34" s="19" t="n">
        <f aca="false">IF(Setup!$C$13=0,"",MOD(28,(Setup!$C$13+1)/2))</f>
        <v>0</v>
      </c>
      <c r="L34" s="20" t="b">
        <f aca="false">AND(Setup!$C$13&gt;0,J34&lt;Setup!$C$13)</f>
        <v>0</v>
      </c>
      <c r="M34" s="0" t="str">
        <f aca="false">IF(NOT(L34),"",IF(K34=0,J34,MOD(J34+K34,Setup!$C$13)))</f>
        <v/>
      </c>
      <c r="N34" s="0" t="str">
        <f aca="false">IF(NOT(L34),"",IF(K34=0,Setup!$C$13,MOD(J34-K34+Setup!$C$13,Setup!$C$13)))</f>
        <v/>
      </c>
      <c r="O34" s="20" t="b">
        <f aca="false">AND(L34,OR(M34&gt;=Setup!$C$12,N34&gt;=Setup!$C$12))</f>
        <v>0</v>
      </c>
      <c r="P34" s="19" t="n">
        <f aca="false">IF(AND(L34,NOT(O34),E34&lt;&gt;"",F34&lt;&gt;""),1,0)</f>
        <v>0</v>
      </c>
      <c r="Q34" s="0" t="str">
        <f aca="false">IF(L34,D34&amp;"|"&amp;G34,"")</f>
        <v/>
      </c>
      <c r="R34" s="0" t="str">
        <f aca="false">IF(L34,G34&amp;"|"&amp;D34,"")</f>
        <v/>
      </c>
    </row>
    <row r="35" customFormat="false" ht="15" hidden="false" customHeight="false" outlineLevel="0" collapsed="false">
      <c r="B35" s="16" t="str">
        <f aca="false">IF(L35,J35+1,"")</f>
        <v/>
      </c>
      <c r="C35" s="16" t="str">
        <f aca="false">IF(NOT(L35),"",IF(O35,"Bye",IF(IF(MOD(Setup!$C$12,2)=1,K35,K35+1)&gt;Setup!$C$8,"Next free",IF(MOD(Setup!$C$12,2)=1,K35,K35+1))))</f>
        <v/>
      </c>
      <c r="D35" s="17" t="str">
        <f aca="false">IF(NOT(L35),"",IF(M35&gt;=Setup!$C$12,"Bye",INDEX(Setup!$C$16:$C$31,M35+1)))</f>
        <v/>
      </c>
      <c r="E35" s="18"/>
      <c r="F35" s="18"/>
      <c r="G35" s="17" t="str">
        <f aca="false">IF(NOT(L35),"",IF(N35&gt;=Setup!$C$12,"Bye",INDEX(Setup!$C$16:$C$31,N35+1)))</f>
        <v/>
      </c>
      <c r="H35" s="17" t="str">
        <f aca="false">IF(OR(NOT(L35),O35,E35="",F35=""),"",IF(E35&gt;F35,D35,IF(F35&gt;E35,G35,"Tie")))</f>
        <v/>
      </c>
      <c r="J35" s="19" t="n">
        <f aca="false">IF(Setup!$C$13=0,"",INT(29/((Setup!$C$13+1)/2)))</f>
        <v>7</v>
      </c>
      <c r="K35" s="19" t="n">
        <f aca="false">IF(Setup!$C$13=0,"",MOD(29,(Setup!$C$13+1)/2))</f>
        <v>1</v>
      </c>
      <c r="L35" s="20" t="b">
        <f aca="false">AND(Setup!$C$13&gt;0,J35&lt;Setup!$C$13)</f>
        <v>0</v>
      </c>
      <c r="M35" s="0" t="str">
        <f aca="false">IF(NOT(L35),"",IF(K35=0,J35,MOD(J35+K35,Setup!$C$13)))</f>
        <v/>
      </c>
      <c r="N35" s="0" t="str">
        <f aca="false">IF(NOT(L35),"",IF(K35=0,Setup!$C$13,MOD(J35-K35+Setup!$C$13,Setup!$C$13)))</f>
        <v/>
      </c>
      <c r="O35" s="20" t="b">
        <f aca="false">AND(L35,OR(M35&gt;=Setup!$C$12,N35&gt;=Setup!$C$12))</f>
        <v>0</v>
      </c>
      <c r="P35" s="19" t="n">
        <f aca="false">IF(AND(L35,NOT(O35),E35&lt;&gt;"",F35&lt;&gt;""),1,0)</f>
        <v>0</v>
      </c>
      <c r="Q35" s="0" t="str">
        <f aca="false">IF(L35,D35&amp;"|"&amp;G35,"")</f>
        <v/>
      </c>
      <c r="R35" s="0" t="str">
        <f aca="false">IF(L35,G35&amp;"|"&amp;D35,"")</f>
        <v/>
      </c>
    </row>
    <row r="36" customFormat="false" ht="15" hidden="false" customHeight="false" outlineLevel="0" collapsed="false">
      <c r="B36" s="16" t="str">
        <f aca="false">IF(L36,J36+1,"")</f>
        <v/>
      </c>
      <c r="C36" s="16" t="str">
        <f aca="false">IF(NOT(L36),"",IF(O36,"Bye",IF(IF(MOD(Setup!$C$12,2)=1,K36,K36+1)&gt;Setup!$C$8,"Next free",IF(MOD(Setup!$C$12,2)=1,K36,K36+1))))</f>
        <v/>
      </c>
      <c r="D36" s="17" t="str">
        <f aca="false">IF(NOT(L36),"",IF(M36&gt;=Setup!$C$12,"Bye",INDEX(Setup!$C$16:$C$31,M36+1)))</f>
        <v/>
      </c>
      <c r="E36" s="18"/>
      <c r="F36" s="18"/>
      <c r="G36" s="17" t="str">
        <f aca="false">IF(NOT(L36),"",IF(N36&gt;=Setup!$C$12,"Bye",INDEX(Setup!$C$16:$C$31,N36+1)))</f>
        <v/>
      </c>
      <c r="H36" s="17" t="str">
        <f aca="false">IF(OR(NOT(L36),O36,E36="",F36=""),"",IF(E36&gt;F36,D36,IF(F36&gt;E36,G36,"Tie")))</f>
        <v/>
      </c>
      <c r="J36" s="19" t="n">
        <f aca="false">IF(Setup!$C$13=0,"",INT(30/((Setup!$C$13+1)/2)))</f>
        <v>7</v>
      </c>
      <c r="K36" s="19" t="n">
        <f aca="false">IF(Setup!$C$13=0,"",MOD(30,(Setup!$C$13+1)/2))</f>
        <v>2</v>
      </c>
      <c r="L36" s="20" t="b">
        <f aca="false">AND(Setup!$C$13&gt;0,J36&lt;Setup!$C$13)</f>
        <v>0</v>
      </c>
      <c r="M36" s="0" t="str">
        <f aca="false">IF(NOT(L36),"",IF(K36=0,J36,MOD(J36+K36,Setup!$C$13)))</f>
        <v/>
      </c>
      <c r="N36" s="0" t="str">
        <f aca="false">IF(NOT(L36),"",IF(K36=0,Setup!$C$13,MOD(J36-K36+Setup!$C$13,Setup!$C$13)))</f>
        <v/>
      </c>
      <c r="O36" s="20" t="b">
        <f aca="false">AND(L36,OR(M36&gt;=Setup!$C$12,N36&gt;=Setup!$C$12))</f>
        <v>0</v>
      </c>
      <c r="P36" s="19" t="n">
        <f aca="false">IF(AND(L36,NOT(O36),E36&lt;&gt;"",F36&lt;&gt;""),1,0)</f>
        <v>0</v>
      </c>
      <c r="Q36" s="0" t="str">
        <f aca="false">IF(L36,D36&amp;"|"&amp;G36,"")</f>
        <v/>
      </c>
      <c r="R36" s="0" t="str">
        <f aca="false">IF(L36,G36&amp;"|"&amp;D36,"")</f>
        <v/>
      </c>
    </row>
    <row r="37" customFormat="false" ht="15" hidden="false" customHeight="false" outlineLevel="0" collapsed="false">
      <c r="B37" s="16" t="str">
        <f aca="false">IF(L37,J37+1,"")</f>
        <v/>
      </c>
      <c r="C37" s="16" t="str">
        <f aca="false">IF(NOT(L37),"",IF(O37,"Bye",IF(IF(MOD(Setup!$C$12,2)=1,K37,K37+1)&gt;Setup!$C$8,"Next free",IF(MOD(Setup!$C$12,2)=1,K37,K37+1))))</f>
        <v/>
      </c>
      <c r="D37" s="17" t="str">
        <f aca="false">IF(NOT(L37),"",IF(M37&gt;=Setup!$C$12,"Bye",INDEX(Setup!$C$16:$C$31,M37+1)))</f>
        <v/>
      </c>
      <c r="E37" s="18"/>
      <c r="F37" s="18"/>
      <c r="G37" s="17" t="str">
        <f aca="false">IF(NOT(L37),"",IF(N37&gt;=Setup!$C$12,"Bye",INDEX(Setup!$C$16:$C$31,N37+1)))</f>
        <v/>
      </c>
      <c r="H37" s="17" t="str">
        <f aca="false">IF(OR(NOT(L37),O37,E37="",F37=""),"",IF(E37&gt;F37,D37,IF(F37&gt;E37,G37,"Tie")))</f>
        <v/>
      </c>
      <c r="J37" s="19" t="n">
        <f aca="false">IF(Setup!$C$13=0,"",INT(31/((Setup!$C$13+1)/2)))</f>
        <v>7</v>
      </c>
      <c r="K37" s="19" t="n">
        <f aca="false">IF(Setup!$C$13=0,"",MOD(31,(Setup!$C$13+1)/2))</f>
        <v>3</v>
      </c>
      <c r="L37" s="20" t="b">
        <f aca="false">AND(Setup!$C$13&gt;0,J37&lt;Setup!$C$13)</f>
        <v>0</v>
      </c>
      <c r="M37" s="0" t="str">
        <f aca="false">IF(NOT(L37),"",IF(K37=0,J37,MOD(J37+K37,Setup!$C$13)))</f>
        <v/>
      </c>
      <c r="N37" s="0" t="str">
        <f aca="false">IF(NOT(L37),"",IF(K37=0,Setup!$C$13,MOD(J37-K37+Setup!$C$13,Setup!$C$13)))</f>
        <v/>
      </c>
      <c r="O37" s="20" t="b">
        <f aca="false">AND(L37,OR(M37&gt;=Setup!$C$12,N37&gt;=Setup!$C$12))</f>
        <v>0</v>
      </c>
      <c r="P37" s="19" t="n">
        <f aca="false">IF(AND(L37,NOT(O37),E37&lt;&gt;"",F37&lt;&gt;""),1,0)</f>
        <v>0</v>
      </c>
      <c r="Q37" s="0" t="str">
        <f aca="false">IF(L37,D37&amp;"|"&amp;G37,"")</f>
        <v/>
      </c>
      <c r="R37" s="0" t="str">
        <f aca="false">IF(L37,G37&amp;"|"&amp;D37,"")</f>
        <v/>
      </c>
    </row>
    <row r="38" customFormat="false" ht="15" hidden="false" customHeight="false" outlineLevel="0" collapsed="false">
      <c r="B38" s="16" t="str">
        <f aca="false">IF(L38,J38+1,"")</f>
        <v/>
      </c>
      <c r="C38" s="16" t="str">
        <f aca="false">IF(NOT(L38),"",IF(O38,"Bye",IF(IF(MOD(Setup!$C$12,2)=1,K38,K38+1)&gt;Setup!$C$8,"Next free",IF(MOD(Setup!$C$12,2)=1,K38,K38+1))))</f>
        <v/>
      </c>
      <c r="D38" s="17" t="str">
        <f aca="false">IF(NOT(L38),"",IF(M38&gt;=Setup!$C$12,"Bye",INDEX(Setup!$C$16:$C$31,M38+1)))</f>
        <v/>
      </c>
      <c r="E38" s="18"/>
      <c r="F38" s="18"/>
      <c r="G38" s="17" t="str">
        <f aca="false">IF(NOT(L38),"",IF(N38&gt;=Setup!$C$12,"Bye",INDEX(Setup!$C$16:$C$31,N38+1)))</f>
        <v/>
      </c>
      <c r="H38" s="17" t="str">
        <f aca="false">IF(OR(NOT(L38),O38,E38="",F38=""),"",IF(E38&gt;F38,D38,IF(F38&gt;E38,G38,"Tie")))</f>
        <v/>
      </c>
      <c r="J38" s="19" t="n">
        <f aca="false">IF(Setup!$C$13=0,"",INT(32/((Setup!$C$13+1)/2)))</f>
        <v>8</v>
      </c>
      <c r="K38" s="19" t="n">
        <f aca="false">IF(Setup!$C$13=0,"",MOD(32,(Setup!$C$13+1)/2))</f>
        <v>0</v>
      </c>
      <c r="L38" s="20" t="b">
        <f aca="false">AND(Setup!$C$13&gt;0,J38&lt;Setup!$C$13)</f>
        <v>0</v>
      </c>
      <c r="M38" s="0" t="str">
        <f aca="false">IF(NOT(L38),"",IF(K38=0,J38,MOD(J38+K38,Setup!$C$13)))</f>
        <v/>
      </c>
      <c r="N38" s="0" t="str">
        <f aca="false">IF(NOT(L38),"",IF(K38=0,Setup!$C$13,MOD(J38-K38+Setup!$C$13,Setup!$C$13)))</f>
        <v/>
      </c>
      <c r="O38" s="20" t="b">
        <f aca="false">AND(L38,OR(M38&gt;=Setup!$C$12,N38&gt;=Setup!$C$12))</f>
        <v>0</v>
      </c>
      <c r="P38" s="19" t="n">
        <f aca="false">IF(AND(L38,NOT(O38),E38&lt;&gt;"",F38&lt;&gt;""),1,0)</f>
        <v>0</v>
      </c>
      <c r="Q38" s="0" t="str">
        <f aca="false">IF(L38,D38&amp;"|"&amp;G38,"")</f>
        <v/>
      </c>
      <c r="R38" s="0" t="str">
        <f aca="false">IF(L38,G38&amp;"|"&amp;D38,"")</f>
        <v/>
      </c>
    </row>
    <row r="39" customFormat="false" ht="15" hidden="false" customHeight="false" outlineLevel="0" collapsed="false">
      <c r="B39" s="16" t="str">
        <f aca="false">IF(L39,J39+1,"")</f>
        <v/>
      </c>
      <c r="C39" s="16" t="str">
        <f aca="false">IF(NOT(L39),"",IF(O39,"Bye",IF(IF(MOD(Setup!$C$12,2)=1,K39,K39+1)&gt;Setup!$C$8,"Next free",IF(MOD(Setup!$C$12,2)=1,K39,K39+1))))</f>
        <v/>
      </c>
      <c r="D39" s="17" t="str">
        <f aca="false">IF(NOT(L39),"",IF(M39&gt;=Setup!$C$12,"Bye",INDEX(Setup!$C$16:$C$31,M39+1)))</f>
        <v/>
      </c>
      <c r="E39" s="18"/>
      <c r="F39" s="18"/>
      <c r="G39" s="17" t="str">
        <f aca="false">IF(NOT(L39),"",IF(N39&gt;=Setup!$C$12,"Bye",INDEX(Setup!$C$16:$C$31,N39+1)))</f>
        <v/>
      </c>
      <c r="H39" s="17" t="str">
        <f aca="false">IF(OR(NOT(L39),O39,E39="",F39=""),"",IF(E39&gt;F39,D39,IF(F39&gt;E39,G39,"Tie")))</f>
        <v/>
      </c>
      <c r="J39" s="19" t="n">
        <f aca="false">IF(Setup!$C$13=0,"",INT(33/((Setup!$C$13+1)/2)))</f>
        <v>8</v>
      </c>
      <c r="K39" s="19" t="n">
        <f aca="false">IF(Setup!$C$13=0,"",MOD(33,(Setup!$C$13+1)/2))</f>
        <v>1</v>
      </c>
      <c r="L39" s="20" t="b">
        <f aca="false">AND(Setup!$C$13&gt;0,J39&lt;Setup!$C$13)</f>
        <v>0</v>
      </c>
      <c r="M39" s="0" t="str">
        <f aca="false">IF(NOT(L39),"",IF(K39=0,J39,MOD(J39+K39,Setup!$C$13)))</f>
        <v/>
      </c>
      <c r="N39" s="0" t="str">
        <f aca="false">IF(NOT(L39),"",IF(K39=0,Setup!$C$13,MOD(J39-K39+Setup!$C$13,Setup!$C$13)))</f>
        <v/>
      </c>
      <c r="O39" s="20" t="b">
        <f aca="false">AND(L39,OR(M39&gt;=Setup!$C$12,N39&gt;=Setup!$C$12))</f>
        <v>0</v>
      </c>
      <c r="P39" s="19" t="n">
        <f aca="false">IF(AND(L39,NOT(O39),E39&lt;&gt;"",F39&lt;&gt;""),1,0)</f>
        <v>0</v>
      </c>
      <c r="Q39" s="0" t="str">
        <f aca="false">IF(L39,D39&amp;"|"&amp;G39,"")</f>
        <v/>
      </c>
      <c r="R39" s="0" t="str">
        <f aca="false">IF(L39,G39&amp;"|"&amp;D39,"")</f>
        <v/>
      </c>
    </row>
    <row r="40" customFormat="false" ht="15" hidden="false" customHeight="false" outlineLevel="0" collapsed="false">
      <c r="B40" s="16" t="str">
        <f aca="false">IF(L40,J40+1,"")</f>
        <v/>
      </c>
      <c r="C40" s="16" t="str">
        <f aca="false">IF(NOT(L40),"",IF(O40,"Bye",IF(IF(MOD(Setup!$C$12,2)=1,K40,K40+1)&gt;Setup!$C$8,"Next free",IF(MOD(Setup!$C$12,2)=1,K40,K40+1))))</f>
        <v/>
      </c>
      <c r="D40" s="17" t="str">
        <f aca="false">IF(NOT(L40),"",IF(M40&gt;=Setup!$C$12,"Bye",INDEX(Setup!$C$16:$C$31,M40+1)))</f>
        <v/>
      </c>
      <c r="E40" s="18"/>
      <c r="F40" s="18"/>
      <c r="G40" s="17" t="str">
        <f aca="false">IF(NOT(L40),"",IF(N40&gt;=Setup!$C$12,"Bye",INDEX(Setup!$C$16:$C$31,N40+1)))</f>
        <v/>
      </c>
      <c r="H40" s="17" t="str">
        <f aca="false">IF(OR(NOT(L40),O40,E40="",F40=""),"",IF(E40&gt;F40,D40,IF(F40&gt;E40,G40,"Tie")))</f>
        <v/>
      </c>
      <c r="J40" s="19" t="n">
        <f aca="false">IF(Setup!$C$13=0,"",INT(34/((Setup!$C$13+1)/2)))</f>
        <v>8</v>
      </c>
      <c r="K40" s="19" t="n">
        <f aca="false">IF(Setup!$C$13=0,"",MOD(34,(Setup!$C$13+1)/2))</f>
        <v>2</v>
      </c>
      <c r="L40" s="20" t="b">
        <f aca="false">AND(Setup!$C$13&gt;0,J40&lt;Setup!$C$13)</f>
        <v>0</v>
      </c>
      <c r="M40" s="0" t="str">
        <f aca="false">IF(NOT(L40),"",IF(K40=0,J40,MOD(J40+K40,Setup!$C$13)))</f>
        <v/>
      </c>
      <c r="N40" s="0" t="str">
        <f aca="false">IF(NOT(L40),"",IF(K40=0,Setup!$C$13,MOD(J40-K40+Setup!$C$13,Setup!$C$13)))</f>
        <v/>
      </c>
      <c r="O40" s="20" t="b">
        <f aca="false">AND(L40,OR(M40&gt;=Setup!$C$12,N40&gt;=Setup!$C$12))</f>
        <v>0</v>
      </c>
      <c r="P40" s="19" t="n">
        <f aca="false">IF(AND(L40,NOT(O40),E40&lt;&gt;"",F40&lt;&gt;""),1,0)</f>
        <v>0</v>
      </c>
      <c r="Q40" s="0" t="str">
        <f aca="false">IF(L40,D40&amp;"|"&amp;G40,"")</f>
        <v/>
      </c>
      <c r="R40" s="0" t="str">
        <f aca="false">IF(L40,G40&amp;"|"&amp;D40,"")</f>
        <v/>
      </c>
    </row>
    <row r="41" customFormat="false" ht="15" hidden="false" customHeight="false" outlineLevel="0" collapsed="false">
      <c r="B41" s="16" t="str">
        <f aca="false">IF(L41,J41+1,"")</f>
        <v/>
      </c>
      <c r="C41" s="16" t="str">
        <f aca="false">IF(NOT(L41),"",IF(O41,"Bye",IF(IF(MOD(Setup!$C$12,2)=1,K41,K41+1)&gt;Setup!$C$8,"Next free",IF(MOD(Setup!$C$12,2)=1,K41,K41+1))))</f>
        <v/>
      </c>
      <c r="D41" s="17" t="str">
        <f aca="false">IF(NOT(L41),"",IF(M41&gt;=Setup!$C$12,"Bye",INDEX(Setup!$C$16:$C$31,M41+1)))</f>
        <v/>
      </c>
      <c r="E41" s="18"/>
      <c r="F41" s="18"/>
      <c r="G41" s="17" t="str">
        <f aca="false">IF(NOT(L41),"",IF(N41&gt;=Setup!$C$12,"Bye",INDEX(Setup!$C$16:$C$31,N41+1)))</f>
        <v/>
      </c>
      <c r="H41" s="17" t="str">
        <f aca="false">IF(OR(NOT(L41),O41,E41="",F41=""),"",IF(E41&gt;F41,D41,IF(F41&gt;E41,G41,"Tie")))</f>
        <v/>
      </c>
      <c r="J41" s="19" t="n">
        <f aca="false">IF(Setup!$C$13=0,"",INT(35/((Setup!$C$13+1)/2)))</f>
        <v>8</v>
      </c>
      <c r="K41" s="19" t="n">
        <f aca="false">IF(Setup!$C$13=0,"",MOD(35,(Setup!$C$13+1)/2))</f>
        <v>3</v>
      </c>
      <c r="L41" s="20" t="b">
        <f aca="false">AND(Setup!$C$13&gt;0,J41&lt;Setup!$C$13)</f>
        <v>0</v>
      </c>
      <c r="M41" s="0" t="str">
        <f aca="false">IF(NOT(L41),"",IF(K41=0,J41,MOD(J41+K41,Setup!$C$13)))</f>
        <v/>
      </c>
      <c r="N41" s="0" t="str">
        <f aca="false">IF(NOT(L41),"",IF(K41=0,Setup!$C$13,MOD(J41-K41+Setup!$C$13,Setup!$C$13)))</f>
        <v/>
      </c>
      <c r="O41" s="20" t="b">
        <f aca="false">AND(L41,OR(M41&gt;=Setup!$C$12,N41&gt;=Setup!$C$12))</f>
        <v>0</v>
      </c>
      <c r="P41" s="19" t="n">
        <f aca="false">IF(AND(L41,NOT(O41),E41&lt;&gt;"",F41&lt;&gt;""),1,0)</f>
        <v>0</v>
      </c>
      <c r="Q41" s="0" t="str">
        <f aca="false">IF(L41,D41&amp;"|"&amp;G41,"")</f>
        <v/>
      </c>
      <c r="R41" s="0" t="str">
        <f aca="false">IF(L41,G41&amp;"|"&amp;D41,"")</f>
        <v/>
      </c>
    </row>
    <row r="42" customFormat="false" ht="15" hidden="false" customHeight="false" outlineLevel="0" collapsed="false">
      <c r="B42" s="16" t="str">
        <f aca="false">IF(L42,J42+1,"")</f>
        <v/>
      </c>
      <c r="C42" s="16" t="str">
        <f aca="false">IF(NOT(L42),"",IF(O42,"Bye",IF(IF(MOD(Setup!$C$12,2)=1,K42,K42+1)&gt;Setup!$C$8,"Next free",IF(MOD(Setup!$C$12,2)=1,K42,K42+1))))</f>
        <v/>
      </c>
      <c r="D42" s="17" t="str">
        <f aca="false">IF(NOT(L42),"",IF(M42&gt;=Setup!$C$12,"Bye",INDEX(Setup!$C$16:$C$31,M42+1)))</f>
        <v/>
      </c>
      <c r="E42" s="18"/>
      <c r="F42" s="18"/>
      <c r="G42" s="17" t="str">
        <f aca="false">IF(NOT(L42),"",IF(N42&gt;=Setup!$C$12,"Bye",INDEX(Setup!$C$16:$C$31,N42+1)))</f>
        <v/>
      </c>
      <c r="H42" s="17" t="str">
        <f aca="false">IF(OR(NOT(L42),O42,E42="",F42=""),"",IF(E42&gt;F42,D42,IF(F42&gt;E42,G42,"Tie")))</f>
        <v/>
      </c>
      <c r="J42" s="19" t="n">
        <f aca="false">IF(Setup!$C$13=0,"",INT(36/((Setup!$C$13+1)/2)))</f>
        <v>9</v>
      </c>
      <c r="K42" s="19" t="n">
        <f aca="false">IF(Setup!$C$13=0,"",MOD(36,(Setup!$C$13+1)/2))</f>
        <v>0</v>
      </c>
      <c r="L42" s="20" t="b">
        <f aca="false">AND(Setup!$C$13&gt;0,J42&lt;Setup!$C$13)</f>
        <v>0</v>
      </c>
      <c r="M42" s="0" t="str">
        <f aca="false">IF(NOT(L42),"",IF(K42=0,J42,MOD(J42+K42,Setup!$C$13)))</f>
        <v/>
      </c>
      <c r="N42" s="0" t="str">
        <f aca="false">IF(NOT(L42),"",IF(K42=0,Setup!$C$13,MOD(J42-K42+Setup!$C$13,Setup!$C$13)))</f>
        <v/>
      </c>
      <c r="O42" s="20" t="b">
        <f aca="false">AND(L42,OR(M42&gt;=Setup!$C$12,N42&gt;=Setup!$C$12))</f>
        <v>0</v>
      </c>
      <c r="P42" s="19" t="n">
        <f aca="false">IF(AND(L42,NOT(O42),E42&lt;&gt;"",F42&lt;&gt;""),1,0)</f>
        <v>0</v>
      </c>
      <c r="Q42" s="0" t="str">
        <f aca="false">IF(L42,D42&amp;"|"&amp;G42,"")</f>
        <v/>
      </c>
      <c r="R42" s="0" t="str">
        <f aca="false">IF(L42,G42&amp;"|"&amp;D42,"")</f>
        <v/>
      </c>
    </row>
    <row r="43" customFormat="false" ht="15" hidden="false" customHeight="false" outlineLevel="0" collapsed="false">
      <c r="B43" s="16" t="str">
        <f aca="false">IF(L43,J43+1,"")</f>
        <v/>
      </c>
      <c r="C43" s="16" t="str">
        <f aca="false">IF(NOT(L43),"",IF(O43,"Bye",IF(IF(MOD(Setup!$C$12,2)=1,K43,K43+1)&gt;Setup!$C$8,"Next free",IF(MOD(Setup!$C$12,2)=1,K43,K43+1))))</f>
        <v/>
      </c>
      <c r="D43" s="17" t="str">
        <f aca="false">IF(NOT(L43),"",IF(M43&gt;=Setup!$C$12,"Bye",INDEX(Setup!$C$16:$C$31,M43+1)))</f>
        <v/>
      </c>
      <c r="E43" s="18"/>
      <c r="F43" s="18"/>
      <c r="G43" s="17" t="str">
        <f aca="false">IF(NOT(L43),"",IF(N43&gt;=Setup!$C$12,"Bye",INDEX(Setup!$C$16:$C$31,N43+1)))</f>
        <v/>
      </c>
      <c r="H43" s="17" t="str">
        <f aca="false">IF(OR(NOT(L43),O43,E43="",F43=""),"",IF(E43&gt;F43,D43,IF(F43&gt;E43,G43,"Tie")))</f>
        <v/>
      </c>
      <c r="J43" s="19" t="n">
        <f aca="false">IF(Setup!$C$13=0,"",INT(37/((Setup!$C$13+1)/2)))</f>
        <v>9</v>
      </c>
      <c r="K43" s="19" t="n">
        <f aca="false">IF(Setup!$C$13=0,"",MOD(37,(Setup!$C$13+1)/2))</f>
        <v>1</v>
      </c>
      <c r="L43" s="20" t="b">
        <f aca="false">AND(Setup!$C$13&gt;0,J43&lt;Setup!$C$13)</f>
        <v>0</v>
      </c>
      <c r="M43" s="0" t="str">
        <f aca="false">IF(NOT(L43),"",IF(K43=0,J43,MOD(J43+K43,Setup!$C$13)))</f>
        <v/>
      </c>
      <c r="N43" s="0" t="str">
        <f aca="false">IF(NOT(L43),"",IF(K43=0,Setup!$C$13,MOD(J43-K43+Setup!$C$13,Setup!$C$13)))</f>
        <v/>
      </c>
      <c r="O43" s="20" t="b">
        <f aca="false">AND(L43,OR(M43&gt;=Setup!$C$12,N43&gt;=Setup!$C$12))</f>
        <v>0</v>
      </c>
      <c r="P43" s="19" t="n">
        <f aca="false">IF(AND(L43,NOT(O43),E43&lt;&gt;"",F43&lt;&gt;""),1,0)</f>
        <v>0</v>
      </c>
      <c r="Q43" s="0" t="str">
        <f aca="false">IF(L43,D43&amp;"|"&amp;G43,"")</f>
        <v/>
      </c>
      <c r="R43" s="0" t="str">
        <f aca="false">IF(L43,G43&amp;"|"&amp;D43,"")</f>
        <v/>
      </c>
    </row>
    <row r="44" customFormat="false" ht="15" hidden="false" customHeight="false" outlineLevel="0" collapsed="false">
      <c r="B44" s="16" t="str">
        <f aca="false">IF(L44,J44+1,"")</f>
        <v/>
      </c>
      <c r="C44" s="16" t="str">
        <f aca="false">IF(NOT(L44),"",IF(O44,"Bye",IF(IF(MOD(Setup!$C$12,2)=1,K44,K44+1)&gt;Setup!$C$8,"Next free",IF(MOD(Setup!$C$12,2)=1,K44,K44+1))))</f>
        <v/>
      </c>
      <c r="D44" s="17" t="str">
        <f aca="false">IF(NOT(L44),"",IF(M44&gt;=Setup!$C$12,"Bye",INDEX(Setup!$C$16:$C$31,M44+1)))</f>
        <v/>
      </c>
      <c r="E44" s="18"/>
      <c r="F44" s="18"/>
      <c r="G44" s="17" t="str">
        <f aca="false">IF(NOT(L44),"",IF(N44&gt;=Setup!$C$12,"Bye",INDEX(Setup!$C$16:$C$31,N44+1)))</f>
        <v/>
      </c>
      <c r="H44" s="17" t="str">
        <f aca="false">IF(OR(NOT(L44),O44,E44="",F44=""),"",IF(E44&gt;F44,D44,IF(F44&gt;E44,G44,"Tie")))</f>
        <v/>
      </c>
      <c r="J44" s="19" t="n">
        <f aca="false">IF(Setup!$C$13=0,"",INT(38/((Setup!$C$13+1)/2)))</f>
        <v>9</v>
      </c>
      <c r="K44" s="19" t="n">
        <f aca="false">IF(Setup!$C$13=0,"",MOD(38,(Setup!$C$13+1)/2))</f>
        <v>2</v>
      </c>
      <c r="L44" s="20" t="b">
        <f aca="false">AND(Setup!$C$13&gt;0,J44&lt;Setup!$C$13)</f>
        <v>0</v>
      </c>
      <c r="M44" s="0" t="str">
        <f aca="false">IF(NOT(L44),"",IF(K44=0,J44,MOD(J44+K44,Setup!$C$13)))</f>
        <v/>
      </c>
      <c r="N44" s="0" t="str">
        <f aca="false">IF(NOT(L44),"",IF(K44=0,Setup!$C$13,MOD(J44-K44+Setup!$C$13,Setup!$C$13)))</f>
        <v/>
      </c>
      <c r="O44" s="20" t="b">
        <f aca="false">AND(L44,OR(M44&gt;=Setup!$C$12,N44&gt;=Setup!$C$12))</f>
        <v>0</v>
      </c>
      <c r="P44" s="19" t="n">
        <f aca="false">IF(AND(L44,NOT(O44),E44&lt;&gt;"",F44&lt;&gt;""),1,0)</f>
        <v>0</v>
      </c>
      <c r="Q44" s="0" t="str">
        <f aca="false">IF(L44,D44&amp;"|"&amp;G44,"")</f>
        <v/>
      </c>
      <c r="R44" s="0" t="str">
        <f aca="false">IF(L44,G44&amp;"|"&amp;D44,"")</f>
        <v/>
      </c>
    </row>
    <row r="45" customFormat="false" ht="15" hidden="false" customHeight="false" outlineLevel="0" collapsed="false">
      <c r="B45" s="16" t="str">
        <f aca="false">IF(L45,J45+1,"")</f>
        <v/>
      </c>
      <c r="C45" s="16" t="str">
        <f aca="false">IF(NOT(L45),"",IF(O45,"Bye",IF(IF(MOD(Setup!$C$12,2)=1,K45,K45+1)&gt;Setup!$C$8,"Next free",IF(MOD(Setup!$C$12,2)=1,K45,K45+1))))</f>
        <v/>
      </c>
      <c r="D45" s="17" t="str">
        <f aca="false">IF(NOT(L45),"",IF(M45&gt;=Setup!$C$12,"Bye",INDEX(Setup!$C$16:$C$31,M45+1)))</f>
        <v/>
      </c>
      <c r="E45" s="18"/>
      <c r="F45" s="18"/>
      <c r="G45" s="17" t="str">
        <f aca="false">IF(NOT(L45),"",IF(N45&gt;=Setup!$C$12,"Bye",INDEX(Setup!$C$16:$C$31,N45+1)))</f>
        <v/>
      </c>
      <c r="H45" s="17" t="str">
        <f aca="false">IF(OR(NOT(L45),O45,E45="",F45=""),"",IF(E45&gt;F45,D45,IF(F45&gt;E45,G45,"Tie")))</f>
        <v/>
      </c>
      <c r="J45" s="19" t="n">
        <f aca="false">IF(Setup!$C$13=0,"",INT(39/((Setup!$C$13+1)/2)))</f>
        <v>9</v>
      </c>
      <c r="K45" s="19" t="n">
        <f aca="false">IF(Setup!$C$13=0,"",MOD(39,(Setup!$C$13+1)/2))</f>
        <v>3</v>
      </c>
      <c r="L45" s="20" t="b">
        <f aca="false">AND(Setup!$C$13&gt;0,J45&lt;Setup!$C$13)</f>
        <v>0</v>
      </c>
      <c r="M45" s="0" t="str">
        <f aca="false">IF(NOT(L45),"",IF(K45=0,J45,MOD(J45+K45,Setup!$C$13)))</f>
        <v/>
      </c>
      <c r="N45" s="0" t="str">
        <f aca="false">IF(NOT(L45),"",IF(K45=0,Setup!$C$13,MOD(J45-K45+Setup!$C$13,Setup!$C$13)))</f>
        <v/>
      </c>
      <c r="O45" s="20" t="b">
        <f aca="false">AND(L45,OR(M45&gt;=Setup!$C$12,N45&gt;=Setup!$C$12))</f>
        <v>0</v>
      </c>
      <c r="P45" s="19" t="n">
        <f aca="false">IF(AND(L45,NOT(O45),E45&lt;&gt;"",F45&lt;&gt;""),1,0)</f>
        <v>0</v>
      </c>
      <c r="Q45" s="0" t="str">
        <f aca="false">IF(L45,D45&amp;"|"&amp;G45,"")</f>
        <v/>
      </c>
      <c r="R45" s="0" t="str">
        <f aca="false">IF(L45,G45&amp;"|"&amp;D45,"")</f>
        <v/>
      </c>
    </row>
    <row r="46" customFormat="false" ht="15" hidden="false" customHeight="false" outlineLevel="0" collapsed="false">
      <c r="B46" s="16" t="str">
        <f aca="false">IF(L46,J46+1,"")</f>
        <v/>
      </c>
      <c r="C46" s="16" t="str">
        <f aca="false">IF(NOT(L46),"",IF(O46,"Bye",IF(IF(MOD(Setup!$C$12,2)=1,K46,K46+1)&gt;Setup!$C$8,"Next free",IF(MOD(Setup!$C$12,2)=1,K46,K46+1))))</f>
        <v/>
      </c>
      <c r="D46" s="17" t="str">
        <f aca="false">IF(NOT(L46),"",IF(M46&gt;=Setup!$C$12,"Bye",INDEX(Setup!$C$16:$C$31,M46+1)))</f>
        <v/>
      </c>
      <c r="E46" s="18"/>
      <c r="F46" s="18"/>
      <c r="G46" s="17" t="str">
        <f aca="false">IF(NOT(L46),"",IF(N46&gt;=Setup!$C$12,"Bye",INDEX(Setup!$C$16:$C$31,N46+1)))</f>
        <v/>
      </c>
      <c r="H46" s="17" t="str">
        <f aca="false">IF(OR(NOT(L46),O46,E46="",F46=""),"",IF(E46&gt;F46,D46,IF(F46&gt;E46,G46,"Tie")))</f>
        <v/>
      </c>
      <c r="J46" s="19" t="n">
        <f aca="false">IF(Setup!$C$13=0,"",INT(40/((Setup!$C$13+1)/2)))</f>
        <v>10</v>
      </c>
      <c r="K46" s="19" t="n">
        <f aca="false">IF(Setup!$C$13=0,"",MOD(40,(Setup!$C$13+1)/2))</f>
        <v>0</v>
      </c>
      <c r="L46" s="20" t="b">
        <f aca="false">AND(Setup!$C$13&gt;0,J46&lt;Setup!$C$13)</f>
        <v>0</v>
      </c>
      <c r="M46" s="0" t="str">
        <f aca="false">IF(NOT(L46),"",IF(K46=0,J46,MOD(J46+K46,Setup!$C$13)))</f>
        <v/>
      </c>
      <c r="N46" s="0" t="str">
        <f aca="false">IF(NOT(L46),"",IF(K46=0,Setup!$C$13,MOD(J46-K46+Setup!$C$13,Setup!$C$13)))</f>
        <v/>
      </c>
      <c r="O46" s="20" t="b">
        <f aca="false">AND(L46,OR(M46&gt;=Setup!$C$12,N46&gt;=Setup!$C$12))</f>
        <v>0</v>
      </c>
      <c r="P46" s="19" t="n">
        <f aca="false">IF(AND(L46,NOT(O46),E46&lt;&gt;"",F46&lt;&gt;""),1,0)</f>
        <v>0</v>
      </c>
      <c r="Q46" s="0" t="str">
        <f aca="false">IF(L46,D46&amp;"|"&amp;G46,"")</f>
        <v/>
      </c>
      <c r="R46" s="0" t="str">
        <f aca="false">IF(L46,G46&amp;"|"&amp;D46,"")</f>
        <v/>
      </c>
    </row>
    <row r="47" customFormat="false" ht="15" hidden="false" customHeight="false" outlineLevel="0" collapsed="false">
      <c r="B47" s="16" t="str">
        <f aca="false">IF(L47,J47+1,"")</f>
        <v/>
      </c>
      <c r="C47" s="16" t="str">
        <f aca="false">IF(NOT(L47),"",IF(O47,"Bye",IF(IF(MOD(Setup!$C$12,2)=1,K47,K47+1)&gt;Setup!$C$8,"Next free",IF(MOD(Setup!$C$12,2)=1,K47,K47+1))))</f>
        <v/>
      </c>
      <c r="D47" s="17" t="str">
        <f aca="false">IF(NOT(L47),"",IF(M47&gt;=Setup!$C$12,"Bye",INDEX(Setup!$C$16:$C$31,M47+1)))</f>
        <v/>
      </c>
      <c r="E47" s="18"/>
      <c r="F47" s="18"/>
      <c r="G47" s="17" t="str">
        <f aca="false">IF(NOT(L47),"",IF(N47&gt;=Setup!$C$12,"Bye",INDEX(Setup!$C$16:$C$31,N47+1)))</f>
        <v/>
      </c>
      <c r="H47" s="17" t="str">
        <f aca="false">IF(OR(NOT(L47),O47,E47="",F47=""),"",IF(E47&gt;F47,D47,IF(F47&gt;E47,G47,"Tie")))</f>
        <v/>
      </c>
      <c r="J47" s="19" t="n">
        <f aca="false">IF(Setup!$C$13=0,"",INT(41/((Setup!$C$13+1)/2)))</f>
        <v>10</v>
      </c>
      <c r="K47" s="19" t="n">
        <f aca="false">IF(Setup!$C$13=0,"",MOD(41,(Setup!$C$13+1)/2))</f>
        <v>1</v>
      </c>
      <c r="L47" s="20" t="b">
        <f aca="false">AND(Setup!$C$13&gt;0,J47&lt;Setup!$C$13)</f>
        <v>0</v>
      </c>
      <c r="M47" s="0" t="str">
        <f aca="false">IF(NOT(L47),"",IF(K47=0,J47,MOD(J47+K47,Setup!$C$13)))</f>
        <v/>
      </c>
      <c r="N47" s="0" t="str">
        <f aca="false">IF(NOT(L47),"",IF(K47=0,Setup!$C$13,MOD(J47-K47+Setup!$C$13,Setup!$C$13)))</f>
        <v/>
      </c>
      <c r="O47" s="20" t="b">
        <f aca="false">AND(L47,OR(M47&gt;=Setup!$C$12,N47&gt;=Setup!$C$12))</f>
        <v>0</v>
      </c>
      <c r="P47" s="19" t="n">
        <f aca="false">IF(AND(L47,NOT(O47),E47&lt;&gt;"",F47&lt;&gt;""),1,0)</f>
        <v>0</v>
      </c>
      <c r="Q47" s="0" t="str">
        <f aca="false">IF(L47,D47&amp;"|"&amp;G47,"")</f>
        <v/>
      </c>
      <c r="R47" s="0" t="str">
        <f aca="false">IF(L47,G47&amp;"|"&amp;D47,"")</f>
        <v/>
      </c>
    </row>
    <row r="48" customFormat="false" ht="15" hidden="false" customHeight="false" outlineLevel="0" collapsed="false">
      <c r="B48" s="16" t="str">
        <f aca="false">IF(L48,J48+1,"")</f>
        <v/>
      </c>
      <c r="C48" s="16" t="str">
        <f aca="false">IF(NOT(L48),"",IF(O48,"Bye",IF(IF(MOD(Setup!$C$12,2)=1,K48,K48+1)&gt;Setup!$C$8,"Next free",IF(MOD(Setup!$C$12,2)=1,K48,K48+1))))</f>
        <v/>
      </c>
      <c r="D48" s="17" t="str">
        <f aca="false">IF(NOT(L48),"",IF(M48&gt;=Setup!$C$12,"Bye",INDEX(Setup!$C$16:$C$31,M48+1)))</f>
        <v/>
      </c>
      <c r="E48" s="18"/>
      <c r="F48" s="18"/>
      <c r="G48" s="17" t="str">
        <f aca="false">IF(NOT(L48),"",IF(N48&gt;=Setup!$C$12,"Bye",INDEX(Setup!$C$16:$C$31,N48+1)))</f>
        <v/>
      </c>
      <c r="H48" s="17" t="str">
        <f aca="false">IF(OR(NOT(L48),O48,E48="",F48=""),"",IF(E48&gt;F48,D48,IF(F48&gt;E48,G48,"Tie")))</f>
        <v/>
      </c>
      <c r="J48" s="19" t="n">
        <f aca="false">IF(Setup!$C$13=0,"",INT(42/((Setup!$C$13+1)/2)))</f>
        <v>10</v>
      </c>
      <c r="K48" s="19" t="n">
        <f aca="false">IF(Setup!$C$13=0,"",MOD(42,(Setup!$C$13+1)/2))</f>
        <v>2</v>
      </c>
      <c r="L48" s="20" t="b">
        <f aca="false">AND(Setup!$C$13&gt;0,J48&lt;Setup!$C$13)</f>
        <v>0</v>
      </c>
      <c r="M48" s="0" t="str">
        <f aca="false">IF(NOT(L48),"",IF(K48=0,J48,MOD(J48+K48,Setup!$C$13)))</f>
        <v/>
      </c>
      <c r="N48" s="0" t="str">
        <f aca="false">IF(NOT(L48),"",IF(K48=0,Setup!$C$13,MOD(J48-K48+Setup!$C$13,Setup!$C$13)))</f>
        <v/>
      </c>
      <c r="O48" s="20" t="b">
        <f aca="false">AND(L48,OR(M48&gt;=Setup!$C$12,N48&gt;=Setup!$C$12))</f>
        <v>0</v>
      </c>
      <c r="P48" s="19" t="n">
        <f aca="false">IF(AND(L48,NOT(O48),E48&lt;&gt;"",F48&lt;&gt;""),1,0)</f>
        <v>0</v>
      </c>
      <c r="Q48" s="0" t="str">
        <f aca="false">IF(L48,D48&amp;"|"&amp;G48,"")</f>
        <v/>
      </c>
      <c r="R48" s="0" t="str">
        <f aca="false">IF(L48,G48&amp;"|"&amp;D48,"")</f>
        <v/>
      </c>
    </row>
    <row r="49" customFormat="false" ht="15" hidden="false" customHeight="false" outlineLevel="0" collapsed="false">
      <c r="B49" s="16" t="str">
        <f aca="false">IF(L49,J49+1,"")</f>
        <v/>
      </c>
      <c r="C49" s="16" t="str">
        <f aca="false">IF(NOT(L49),"",IF(O49,"Bye",IF(IF(MOD(Setup!$C$12,2)=1,K49,K49+1)&gt;Setup!$C$8,"Next free",IF(MOD(Setup!$C$12,2)=1,K49,K49+1))))</f>
        <v/>
      </c>
      <c r="D49" s="17" t="str">
        <f aca="false">IF(NOT(L49),"",IF(M49&gt;=Setup!$C$12,"Bye",INDEX(Setup!$C$16:$C$31,M49+1)))</f>
        <v/>
      </c>
      <c r="E49" s="18"/>
      <c r="F49" s="18"/>
      <c r="G49" s="17" t="str">
        <f aca="false">IF(NOT(L49),"",IF(N49&gt;=Setup!$C$12,"Bye",INDEX(Setup!$C$16:$C$31,N49+1)))</f>
        <v/>
      </c>
      <c r="H49" s="17" t="str">
        <f aca="false">IF(OR(NOT(L49),O49,E49="",F49=""),"",IF(E49&gt;F49,D49,IF(F49&gt;E49,G49,"Tie")))</f>
        <v/>
      </c>
      <c r="J49" s="19" t="n">
        <f aca="false">IF(Setup!$C$13=0,"",INT(43/((Setup!$C$13+1)/2)))</f>
        <v>10</v>
      </c>
      <c r="K49" s="19" t="n">
        <f aca="false">IF(Setup!$C$13=0,"",MOD(43,(Setup!$C$13+1)/2))</f>
        <v>3</v>
      </c>
      <c r="L49" s="20" t="b">
        <f aca="false">AND(Setup!$C$13&gt;0,J49&lt;Setup!$C$13)</f>
        <v>0</v>
      </c>
      <c r="M49" s="0" t="str">
        <f aca="false">IF(NOT(L49),"",IF(K49=0,J49,MOD(J49+K49,Setup!$C$13)))</f>
        <v/>
      </c>
      <c r="N49" s="0" t="str">
        <f aca="false">IF(NOT(L49),"",IF(K49=0,Setup!$C$13,MOD(J49-K49+Setup!$C$13,Setup!$C$13)))</f>
        <v/>
      </c>
      <c r="O49" s="20" t="b">
        <f aca="false">AND(L49,OR(M49&gt;=Setup!$C$12,N49&gt;=Setup!$C$12))</f>
        <v>0</v>
      </c>
      <c r="P49" s="19" t="n">
        <f aca="false">IF(AND(L49,NOT(O49),E49&lt;&gt;"",F49&lt;&gt;""),1,0)</f>
        <v>0</v>
      </c>
      <c r="Q49" s="0" t="str">
        <f aca="false">IF(L49,D49&amp;"|"&amp;G49,"")</f>
        <v/>
      </c>
      <c r="R49" s="0" t="str">
        <f aca="false">IF(L49,G49&amp;"|"&amp;D49,"")</f>
        <v/>
      </c>
    </row>
    <row r="50" customFormat="false" ht="15" hidden="false" customHeight="false" outlineLevel="0" collapsed="false">
      <c r="B50" s="16" t="str">
        <f aca="false">IF(L50,J50+1,"")</f>
        <v/>
      </c>
      <c r="C50" s="16" t="str">
        <f aca="false">IF(NOT(L50),"",IF(O50,"Bye",IF(IF(MOD(Setup!$C$12,2)=1,K50,K50+1)&gt;Setup!$C$8,"Next free",IF(MOD(Setup!$C$12,2)=1,K50,K50+1))))</f>
        <v/>
      </c>
      <c r="D50" s="17" t="str">
        <f aca="false">IF(NOT(L50),"",IF(M50&gt;=Setup!$C$12,"Bye",INDEX(Setup!$C$16:$C$31,M50+1)))</f>
        <v/>
      </c>
      <c r="E50" s="18"/>
      <c r="F50" s="18"/>
      <c r="G50" s="17" t="str">
        <f aca="false">IF(NOT(L50),"",IF(N50&gt;=Setup!$C$12,"Bye",INDEX(Setup!$C$16:$C$31,N50+1)))</f>
        <v/>
      </c>
      <c r="H50" s="17" t="str">
        <f aca="false">IF(OR(NOT(L50),O50,E50="",F50=""),"",IF(E50&gt;F50,D50,IF(F50&gt;E50,G50,"Tie")))</f>
        <v/>
      </c>
      <c r="J50" s="19" t="n">
        <f aca="false">IF(Setup!$C$13=0,"",INT(44/((Setup!$C$13+1)/2)))</f>
        <v>11</v>
      </c>
      <c r="K50" s="19" t="n">
        <f aca="false">IF(Setup!$C$13=0,"",MOD(44,(Setup!$C$13+1)/2))</f>
        <v>0</v>
      </c>
      <c r="L50" s="20" t="b">
        <f aca="false">AND(Setup!$C$13&gt;0,J50&lt;Setup!$C$13)</f>
        <v>0</v>
      </c>
      <c r="M50" s="0" t="str">
        <f aca="false">IF(NOT(L50),"",IF(K50=0,J50,MOD(J50+K50,Setup!$C$13)))</f>
        <v/>
      </c>
      <c r="N50" s="0" t="str">
        <f aca="false">IF(NOT(L50),"",IF(K50=0,Setup!$C$13,MOD(J50-K50+Setup!$C$13,Setup!$C$13)))</f>
        <v/>
      </c>
      <c r="O50" s="20" t="b">
        <f aca="false">AND(L50,OR(M50&gt;=Setup!$C$12,N50&gt;=Setup!$C$12))</f>
        <v>0</v>
      </c>
      <c r="P50" s="19" t="n">
        <f aca="false">IF(AND(L50,NOT(O50),E50&lt;&gt;"",F50&lt;&gt;""),1,0)</f>
        <v>0</v>
      </c>
      <c r="Q50" s="0" t="str">
        <f aca="false">IF(L50,D50&amp;"|"&amp;G50,"")</f>
        <v/>
      </c>
      <c r="R50" s="0" t="str">
        <f aca="false">IF(L50,G50&amp;"|"&amp;D50,"")</f>
        <v/>
      </c>
    </row>
    <row r="51" customFormat="false" ht="15" hidden="false" customHeight="false" outlineLevel="0" collapsed="false">
      <c r="B51" s="16" t="str">
        <f aca="false">IF(L51,J51+1,"")</f>
        <v/>
      </c>
      <c r="C51" s="16" t="str">
        <f aca="false">IF(NOT(L51),"",IF(O51,"Bye",IF(IF(MOD(Setup!$C$12,2)=1,K51,K51+1)&gt;Setup!$C$8,"Next free",IF(MOD(Setup!$C$12,2)=1,K51,K51+1))))</f>
        <v/>
      </c>
      <c r="D51" s="17" t="str">
        <f aca="false">IF(NOT(L51),"",IF(M51&gt;=Setup!$C$12,"Bye",INDEX(Setup!$C$16:$C$31,M51+1)))</f>
        <v/>
      </c>
      <c r="E51" s="18"/>
      <c r="F51" s="18"/>
      <c r="G51" s="17" t="str">
        <f aca="false">IF(NOT(L51),"",IF(N51&gt;=Setup!$C$12,"Bye",INDEX(Setup!$C$16:$C$31,N51+1)))</f>
        <v/>
      </c>
      <c r="H51" s="17" t="str">
        <f aca="false">IF(OR(NOT(L51),O51,E51="",F51=""),"",IF(E51&gt;F51,D51,IF(F51&gt;E51,G51,"Tie")))</f>
        <v/>
      </c>
      <c r="J51" s="19" t="n">
        <f aca="false">IF(Setup!$C$13=0,"",INT(45/((Setup!$C$13+1)/2)))</f>
        <v>11</v>
      </c>
      <c r="K51" s="19" t="n">
        <f aca="false">IF(Setup!$C$13=0,"",MOD(45,(Setup!$C$13+1)/2))</f>
        <v>1</v>
      </c>
      <c r="L51" s="20" t="b">
        <f aca="false">AND(Setup!$C$13&gt;0,J51&lt;Setup!$C$13)</f>
        <v>0</v>
      </c>
      <c r="M51" s="0" t="str">
        <f aca="false">IF(NOT(L51),"",IF(K51=0,J51,MOD(J51+K51,Setup!$C$13)))</f>
        <v/>
      </c>
      <c r="N51" s="0" t="str">
        <f aca="false">IF(NOT(L51),"",IF(K51=0,Setup!$C$13,MOD(J51-K51+Setup!$C$13,Setup!$C$13)))</f>
        <v/>
      </c>
      <c r="O51" s="20" t="b">
        <f aca="false">AND(L51,OR(M51&gt;=Setup!$C$12,N51&gt;=Setup!$C$12))</f>
        <v>0</v>
      </c>
      <c r="P51" s="19" t="n">
        <f aca="false">IF(AND(L51,NOT(O51),E51&lt;&gt;"",F51&lt;&gt;""),1,0)</f>
        <v>0</v>
      </c>
      <c r="Q51" s="0" t="str">
        <f aca="false">IF(L51,D51&amp;"|"&amp;G51,"")</f>
        <v/>
      </c>
      <c r="R51" s="0" t="str">
        <f aca="false">IF(L51,G51&amp;"|"&amp;D51,"")</f>
        <v/>
      </c>
    </row>
    <row r="52" customFormat="false" ht="15" hidden="false" customHeight="false" outlineLevel="0" collapsed="false">
      <c r="B52" s="16" t="str">
        <f aca="false">IF(L52,J52+1,"")</f>
        <v/>
      </c>
      <c r="C52" s="16" t="str">
        <f aca="false">IF(NOT(L52),"",IF(O52,"Bye",IF(IF(MOD(Setup!$C$12,2)=1,K52,K52+1)&gt;Setup!$C$8,"Next free",IF(MOD(Setup!$C$12,2)=1,K52,K52+1))))</f>
        <v/>
      </c>
      <c r="D52" s="17" t="str">
        <f aca="false">IF(NOT(L52),"",IF(M52&gt;=Setup!$C$12,"Bye",INDEX(Setup!$C$16:$C$31,M52+1)))</f>
        <v/>
      </c>
      <c r="E52" s="18"/>
      <c r="F52" s="18"/>
      <c r="G52" s="17" t="str">
        <f aca="false">IF(NOT(L52),"",IF(N52&gt;=Setup!$C$12,"Bye",INDEX(Setup!$C$16:$C$31,N52+1)))</f>
        <v/>
      </c>
      <c r="H52" s="17" t="str">
        <f aca="false">IF(OR(NOT(L52),O52,E52="",F52=""),"",IF(E52&gt;F52,D52,IF(F52&gt;E52,G52,"Tie")))</f>
        <v/>
      </c>
      <c r="J52" s="19" t="n">
        <f aca="false">IF(Setup!$C$13=0,"",INT(46/((Setup!$C$13+1)/2)))</f>
        <v>11</v>
      </c>
      <c r="K52" s="19" t="n">
        <f aca="false">IF(Setup!$C$13=0,"",MOD(46,(Setup!$C$13+1)/2))</f>
        <v>2</v>
      </c>
      <c r="L52" s="20" t="b">
        <f aca="false">AND(Setup!$C$13&gt;0,J52&lt;Setup!$C$13)</f>
        <v>0</v>
      </c>
      <c r="M52" s="0" t="str">
        <f aca="false">IF(NOT(L52),"",IF(K52=0,J52,MOD(J52+K52,Setup!$C$13)))</f>
        <v/>
      </c>
      <c r="N52" s="0" t="str">
        <f aca="false">IF(NOT(L52),"",IF(K52=0,Setup!$C$13,MOD(J52-K52+Setup!$C$13,Setup!$C$13)))</f>
        <v/>
      </c>
      <c r="O52" s="20" t="b">
        <f aca="false">AND(L52,OR(M52&gt;=Setup!$C$12,N52&gt;=Setup!$C$12))</f>
        <v>0</v>
      </c>
      <c r="P52" s="19" t="n">
        <f aca="false">IF(AND(L52,NOT(O52),E52&lt;&gt;"",F52&lt;&gt;""),1,0)</f>
        <v>0</v>
      </c>
      <c r="Q52" s="0" t="str">
        <f aca="false">IF(L52,D52&amp;"|"&amp;G52,"")</f>
        <v/>
      </c>
      <c r="R52" s="0" t="str">
        <f aca="false">IF(L52,G52&amp;"|"&amp;D52,"")</f>
        <v/>
      </c>
    </row>
    <row r="53" customFormat="false" ht="15" hidden="false" customHeight="false" outlineLevel="0" collapsed="false">
      <c r="B53" s="16" t="str">
        <f aca="false">IF(L53,J53+1,"")</f>
        <v/>
      </c>
      <c r="C53" s="16" t="str">
        <f aca="false">IF(NOT(L53),"",IF(O53,"Bye",IF(IF(MOD(Setup!$C$12,2)=1,K53,K53+1)&gt;Setup!$C$8,"Next free",IF(MOD(Setup!$C$12,2)=1,K53,K53+1))))</f>
        <v/>
      </c>
      <c r="D53" s="17" t="str">
        <f aca="false">IF(NOT(L53),"",IF(M53&gt;=Setup!$C$12,"Bye",INDEX(Setup!$C$16:$C$31,M53+1)))</f>
        <v/>
      </c>
      <c r="E53" s="18"/>
      <c r="F53" s="18"/>
      <c r="G53" s="17" t="str">
        <f aca="false">IF(NOT(L53),"",IF(N53&gt;=Setup!$C$12,"Bye",INDEX(Setup!$C$16:$C$31,N53+1)))</f>
        <v/>
      </c>
      <c r="H53" s="17" t="str">
        <f aca="false">IF(OR(NOT(L53),O53,E53="",F53=""),"",IF(E53&gt;F53,D53,IF(F53&gt;E53,G53,"Tie")))</f>
        <v/>
      </c>
      <c r="J53" s="19" t="n">
        <f aca="false">IF(Setup!$C$13=0,"",INT(47/((Setup!$C$13+1)/2)))</f>
        <v>11</v>
      </c>
      <c r="K53" s="19" t="n">
        <f aca="false">IF(Setup!$C$13=0,"",MOD(47,(Setup!$C$13+1)/2))</f>
        <v>3</v>
      </c>
      <c r="L53" s="20" t="b">
        <f aca="false">AND(Setup!$C$13&gt;0,J53&lt;Setup!$C$13)</f>
        <v>0</v>
      </c>
      <c r="M53" s="0" t="str">
        <f aca="false">IF(NOT(L53),"",IF(K53=0,J53,MOD(J53+K53,Setup!$C$13)))</f>
        <v/>
      </c>
      <c r="N53" s="0" t="str">
        <f aca="false">IF(NOT(L53),"",IF(K53=0,Setup!$C$13,MOD(J53-K53+Setup!$C$13,Setup!$C$13)))</f>
        <v/>
      </c>
      <c r="O53" s="20" t="b">
        <f aca="false">AND(L53,OR(M53&gt;=Setup!$C$12,N53&gt;=Setup!$C$12))</f>
        <v>0</v>
      </c>
      <c r="P53" s="19" t="n">
        <f aca="false">IF(AND(L53,NOT(O53),E53&lt;&gt;"",F53&lt;&gt;""),1,0)</f>
        <v>0</v>
      </c>
      <c r="Q53" s="0" t="str">
        <f aca="false">IF(L53,D53&amp;"|"&amp;G53,"")</f>
        <v/>
      </c>
      <c r="R53" s="0" t="str">
        <f aca="false">IF(L53,G53&amp;"|"&amp;D53,"")</f>
        <v/>
      </c>
    </row>
    <row r="54" customFormat="false" ht="15" hidden="false" customHeight="false" outlineLevel="0" collapsed="false">
      <c r="B54" s="16" t="str">
        <f aca="false">IF(L54,J54+1,"")</f>
        <v/>
      </c>
      <c r="C54" s="16" t="str">
        <f aca="false">IF(NOT(L54),"",IF(O54,"Bye",IF(IF(MOD(Setup!$C$12,2)=1,K54,K54+1)&gt;Setup!$C$8,"Next free",IF(MOD(Setup!$C$12,2)=1,K54,K54+1))))</f>
        <v/>
      </c>
      <c r="D54" s="17" t="str">
        <f aca="false">IF(NOT(L54),"",IF(M54&gt;=Setup!$C$12,"Bye",INDEX(Setup!$C$16:$C$31,M54+1)))</f>
        <v/>
      </c>
      <c r="E54" s="18"/>
      <c r="F54" s="18"/>
      <c r="G54" s="17" t="str">
        <f aca="false">IF(NOT(L54),"",IF(N54&gt;=Setup!$C$12,"Bye",INDEX(Setup!$C$16:$C$31,N54+1)))</f>
        <v/>
      </c>
      <c r="H54" s="17" t="str">
        <f aca="false">IF(OR(NOT(L54),O54,E54="",F54=""),"",IF(E54&gt;F54,D54,IF(F54&gt;E54,G54,"Tie")))</f>
        <v/>
      </c>
      <c r="J54" s="19" t="n">
        <f aca="false">IF(Setup!$C$13=0,"",INT(48/((Setup!$C$13+1)/2)))</f>
        <v>12</v>
      </c>
      <c r="K54" s="19" t="n">
        <f aca="false">IF(Setup!$C$13=0,"",MOD(48,(Setup!$C$13+1)/2))</f>
        <v>0</v>
      </c>
      <c r="L54" s="20" t="b">
        <f aca="false">AND(Setup!$C$13&gt;0,J54&lt;Setup!$C$13)</f>
        <v>0</v>
      </c>
      <c r="M54" s="0" t="str">
        <f aca="false">IF(NOT(L54),"",IF(K54=0,J54,MOD(J54+K54,Setup!$C$13)))</f>
        <v/>
      </c>
      <c r="N54" s="0" t="str">
        <f aca="false">IF(NOT(L54),"",IF(K54=0,Setup!$C$13,MOD(J54-K54+Setup!$C$13,Setup!$C$13)))</f>
        <v/>
      </c>
      <c r="O54" s="20" t="b">
        <f aca="false">AND(L54,OR(M54&gt;=Setup!$C$12,N54&gt;=Setup!$C$12))</f>
        <v>0</v>
      </c>
      <c r="P54" s="19" t="n">
        <f aca="false">IF(AND(L54,NOT(O54),E54&lt;&gt;"",F54&lt;&gt;""),1,0)</f>
        <v>0</v>
      </c>
      <c r="Q54" s="0" t="str">
        <f aca="false">IF(L54,D54&amp;"|"&amp;G54,"")</f>
        <v/>
      </c>
      <c r="R54" s="0" t="str">
        <f aca="false">IF(L54,G54&amp;"|"&amp;D54,"")</f>
        <v/>
      </c>
    </row>
    <row r="55" customFormat="false" ht="15" hidden="false" customHeight="false" outlineLevel="0" collapsed="false">
      <c r="B55" s="16" t="str">
        <f aca="false">IF(L55,J55+1,"")</f>
        <v/>
      </c>
      <c r="C55" s="16" t="str">
        <f aca="false">IF(NOT(L55),"",IF(O55,"Bye",IF(IF(MOD(Setup!$C$12,2)=1,K55,K55+1)&gt;Setup!$C$8,"Next free",IF(MOD(Setup!$C$12,2)=1,K55,K55+1))))</f>
        <v/>
      </c>
      <c r="D55" s="17" t="str">
        <f aca="false">IF(NOT(L55),"",IF(M55&gt;=Setup!$C$12,"Bye",INDEX(Setup!$C$16:$C$31,M55+1)))</f>
        <v/>
      </c>
      <c r="E55" s="18"/>
      <c r="F55" s="18"/>
      <c r="G55" s="17" t="str">
        <f aca="false">IF(NOT(L55),"",IF(N55&gt;=Setup!$C$12,"Bye",INDEX(Setup!$C$16:$C$31,N55+1)))</f>
        <v/>
      </c>
      <c r="H55" s="17" t="str">
        <f aca="false">IF(OR(NOT(L55),O55,E55="",F55=""),"",IF(E55&gt;F55,D55,IF(F55&gt;E55,G55,"Tie")))</f>
        <v/>
      </c>
      <c r="J55" s="19" t="n">
        <f aca="false">IF(Setup!$C$13=0,"",INT(49/((Setup!$C$13+1)/2)))</f>
        <v>12</v>
      </c>
      <c r="K55" s="19" t="n">
        <f aca="false">IF(Setup!$C$13=0,"",MOD(49,(Setup!$C$13+1)/2))</f>
        <v>1</v>
      </c>
      <c r="L55" s="20" t="b">
        <f aca="false">AND(Setup!$C$13&gt;0,J55&lt;Setup!$C$13)</f>
        <v>0</v>
      </c>
      <c r="M55" s="0" t="str">
        <f aca="false">IF(NOT(L55),"",IF(K55=0,J55,MOD(J55+K55,Setup!$C$13)))</f>
        <v/>
      </c>
      <c r="N55" s="0" t="str">
        <f aca="false">IF(NOT(L55),"",IF(K55=0,Setup!$C$13,MOD(J55-K55+Setup!$C$13,Setup!$C$13)))</f>
        <v/>
      </c>
      <c r="O55" s="20" t="b">
        <f aca="false">AND(L55,OR(M55&gt;=Setup!$C$12,N55&gt;=Setup!$C$12))</f>
        <v>0</v>
      </c>
      <c r="P55" s="19" t="n">
        <f aca="false">IF(AND(L55,NOT(O55),E55&lt;&gt;"",F55&lt;&gt;""),1,0)</f>
        <v>0</v>
      </c>
      <c r="Q55" s="0" t="str">
        <f aca="false">IF(L55,D55&amp;"|"&amp;G55,"")</f>
        <v/>
      </c>
      <c r="R55" s="0" t="str">
        <f aca="false">IF(L55,G55&amp;"|"&amp;D55,"")</f>
        <v/>
      </c>
    </row>
    <row r="56" customFormat="false" ht="15" hidden="false" customHeight="false" outlineLevel="0" collapsed="false">
      <c r="B56" s="16" t="str">
        <f aca="false">IF(L56,J56+1,"")</f>
        <v/>
      </c>
      <c r="C56" s="16" t="str">
        <f aca="false">IF(NOT(L56),"",IF(O56,"Bye",IF(IF(MOD(Setup!$C$12,2)=1,K56,K56+1)&gt;Setup!$C$8,"Next free",IF(MOD(Setup!$C$12,2)=1,K56,K56+1))))</f>
        <v/>
      </c>
      <c r="D56" s="17" t="str">
        <f aca="false">IF(NOT(L56),"",IF(M56&gt;=Setup!$C$12,"Bye",INDEX(Setup!$C$16:$C$31,M56+1)))</f>
        <v/>
      </c>
      <c r="E56" s="18"/>
      <c r="F56" s="18"/>
      <c r="G56" s="17" t="str">
        <f aca="false">IF(NOT(L56),"",IF(N56&gt;=Setup!$C$12,"Bye",INDEX(Setup!$C$16:$C$31,N56+1)))</f>
        <v/>
      </c>
      <c r="H56" s="17" t="str">
        <f aca="false">IF(OR(NOT(L56),O56,E56="",F56=""),"",IF(E56&gt;F56,D56,IF(F56&gt;E56,G56,"Tie")))</f>
        <v/>
      </c>
      <c r="J56" s="19" t="n">
        <f aca="false">IF(Setup!$C$13=0,"",INT(50/((Setup!$C$13+1)/2)))</f>
        <v>12</v>
      </c>
      <c r="K56" s="19" t="n">
        <f aca="false">IF(Setup!$C$13=0,"",MOD(50,(Setup!$C$13+1)/2))</f>
        <v>2</v>
      </c>
      <c r="L56" s="20" t="b">
        <f aca="false">AND(Setup!$C$13&gt;0,J56&lt;Setup!$C$13)</f>
        <v>0</v>
      </c>
      <c r="M56" s="0" t="str">
        <f aca="false">IF(NOT(L56),"",IF(K56=0,J56,MOD(J56+K56,Setup!$C$13)))</f>
        <v/>
      </c>
      <c r="N56" s="0" t="str">
        <f aca="false">IF(NOT(L56),"",IF(K56=0,Setup!$C$13,MOD(J56-K56+Setup!$C$13,Setup!$C$13)))</f>
        <v/>
      </c>
      <c r="O56" s="20" t="b">
        <f aca="false">AND(L56,OR(M56&gt;=Setup!$C$12,N56&gt;=Setup!$C$12))</f>
        <v>0</v>
      </c>
      <c r="P56" s="19" t="n">
        <f aca="false">IF(AND(L56,NOT(O56),E56&lt;&gt;"",F56&lt;&gt;""),1,0)</f>
        <v>0</v>
      </c>
      <c r="Q56" s="0" t="str">
        <f aca="false">IF(L56,D56&amp;"|"&amp;G56,"")</f>
        <v/>
      </c>
      <c r="R56" s="0" t="str">
        <f aca="false">IF(L56,G56&amp;"|"&amp;D56,"")</f>
        <v/>
      </c>
    </row>
    <row r="57" customFormat="false" ht="15" hidden="false" customHeight="false" outlineLevel="0" collapsed="false">
      <c r="B57" s="16" t="str">
        <f aca="false">IF(L57,J57+1,"")</f>
        <v/>
      </c>
      <c r="C57" s="16" t="str">
        <f aca="false">IF(NOT(L57),"",IF(O57,"Bye",IF(IF(MOD(Setup!$C$12,2)=1,K57,K57+1)&gt;Setup!$C$8,"Next free",IF(MOD(Setup!$C$12,2)=1,K57,K57+1))))</f>
        <v/>
      </c>
      <c r="D57" s="17" t="str">
        <f aca="false">IF(NOT(L57),"",IF(M57&gt;=Setup!$C$12,"Bye",INDEX(Setup!$C$16:$C$31,M57+1)))</f>
        <v/>
      </c>
      <c r="E57" s="18"/>
      <c r="F57" s="18"/>
      <c r="G57" s="17" t="str">
        <f aca="false">IF(NOT(L57),"",IF(N57&gt;=Setup!$C$12,"Bye",INDEX(Setup!$C$16:$C$31,N57+1)))</f>
        <v/>
      </c>
      <c r="H57" s="17" t="str">
        <f aca="false">IF(OR(NOT(L57),O57,E57="",F57=""),"",IF(E57&gt;F57,D57,IF(F57&gt;E57,G57,"Tie")))</f>
        <v/>
      </c>
      <c r="J57" s="19" t="n">
        <f aca="false">IF(Setup!$C$13=0,"",INT(51/((Setup!$C$13+1)/2)))</f>
        <v>12</v>
      </c>
      <c r="K57" s="19" t="n">
        <f aca="false">IF(Setup!$C$13=0,"",MOD(51,(Setup!$C$13+1)/2))</f>
        <v>3</v>
      </c>
      <c r="L57" s="20" t="b">
        <f aca="false">AND(Setup!$C$13&gt;0,J57&lt;Setup!$C$13)</f>
        <v>0</v>
      </c>
      <c r="M57" s="0" t="str">
        <f aca="false">IF(NOT(L57),"",IF(K57=0,J57,MOD(J57+K57,Setup!$C$13)))</f>
        <v/>
      </c>
      <c r="N57" s="0" t="str">
        <f aca="false">IF(NOT(L57),"",IF(K57=0,Setup!$C$13,MOD(J57-K57+Setup!$C$13,Setup!$C$13)))</f>
        <v/>
      </c>
      <c r="O57" s="20" t="b">
        <f aca="false">AND(L57,OR(M57&gt;=Setup!$C$12,N57&gt;=Setup!$C$12))</f>
        <v>0</v>
      </c>
      <c r="P57" s="19" t="n">
        <f aca="false">IF(AND(L57,NOT(O57),E57&lt;&gt;"",F57&lt;&gt;""),1,0)</f>
        <v>0</v>
      </c>
      <c r="Q57" s="0" t="str">
        <f aca="false">IF(L57,D57&amp;"|"&amp;G57,"")</f>
        <v/>
      </c>
      <c r="R57" s="0" t="str">
        <f aca="false">IF(L57,G57&amp;"|"&amp;D57,"")</f>
        <v/>
      </c>
    </row>
    <row r="58" customFormat="false" ht="15" hidden="false" customHeight="false" outlineLevel="0" collapsed="false">
      <c r="B58" s="16" t="str">
        <f aca="false">IF(L58,J58+1,"")</f>
        <v/>
      </c>
      <c r="C58" s="16" t="str">
        <f aca="false">IF(NOT(L58),"",IF(O58,"Bye",IF(IF(MOD(Setup!$C$12,2)=1,K58,K58+1)&gt;Setup!$C$8,"Next free",IF(MOD(Setup!$C$12,2)=1,K58,K58+1))))</f>
        <v/>
      </c>
      <c r="D58" s="17" t="str">
        <f aca="false">IF(NOT(L58),"",IF(M58&gt;=Setup!$C$12,"Bye",INDEX(Setup!$C$16:$C$31,M58+1)))</f>
        <v/>
      </c>
      <c r="E58" s="18"/>
      <c r="F58" s="18"/>
      <c r="G58" s="17" t="str">
        <f aca="false">IF(NOT(L58),"",IF(N58&gt;=Setup!$C$12,"Bye",INDEX(Setup!$C$16:$C$31,N58+1)))</f>
        <v/>
      </c>
      <c r="H58" s="17" t="str">
        <f aca="false">IF(OR(NOT(L58),O58,E58="",F58=""),"",IF(E58&gt;F58,D58,IF(F58&gt;E58,G58,"Tie")))</f>
        <v/>
      </c>
      <c r="J58" s="19" t="n">
        <f aca="false">IF(Setup!$C$13=0,"",INT(52/((Setup!$C$13+1)/2)))</f>
        <v>13</v>
      </c>
      <c r="K58" s="19" t="n">
        <f aca="false">IF(Setup!$C$13=0,"",MOD(52,(Setup!$C$13+1)/2))</f>
        <v>0</v>
      </c>
      <c r="L58" s="20" t="b">
        <f aca="false">AND(Setup!$C$13&gt;0,J58&lt;Setup!$C$13)</f>
        <v>0</v>
      </c>
      <c r="M58" s="0" t="str">
        <f aca="false">IF(NOT(L58),"",IF(K58=0,J58,MOD(J58+K58,Setup!$C$13)))</f>
        <v/>
      </c>
      <c r="N58" s="0" t="str">
        <f aca="false">IF(NOT(L58),"",IF(K58=0,Setup!$C$13,MOD(J58-K58+Setup!$C$13,Setup!$C$13)))</f>
        <v/>
      </c>
      <c r="O58" s="20" t="b">
        <f aca="false">AND(L58,OR(M58&gt;=Setup!$C$12,N58&gt;=Setup!$C$12))</f>
        <v>0</v>
      </c>
      <c r="P58" s="19" t="n">
        <f aca="false">IF(AND(L58,NOT(O58),E58&lt;&gt;"",F58&lt;&gt;""),1,0)</f>
        <v>0</v>
      </c>
      <c r="Q58" s="0" t="str">
        <f aca="false">IF(L58,D58&amp;"|"&amp;G58,"")</f>
        <v/>
      </c>
      <c r="R58" s="0" t="str">
        <f aca="false">IF(L58,G58&amp;"|"&amp;D58,"")</f>
        <v/>
      </c>
    </row>
    <row r="59" customFormat="false" ht="15" hidden="false" customHeight="false" outlineLevel="0" collapsed="false">
      <c r="B59" s="16" t="str">
        <f aca="false">IF(L59,J59+1,"")</f>
        <v/>
      </c>
      <c r="C59" s="16" t="str">
        <f aca="false">IF(NOT(L59),"",IF(O59,"Bye",IF(IF(MOD(Setup!$C$12,2)=1,K59,K59+1)&gt;Setup!$C$8,"Next free",IF(MOD(Setup!$C$12,2)=1,K59,K59+1))))</f>
        <v/>
      </c>
      <c r="D59" s="17" t="str">
        <f aca="false">IF(NOT(L59),"",IF(M59&gt;=Setup!$C$12,"Bye",INDEX(Setup!$C$16:$C$31,M59+1)))</f>
        <v/>
      </c>
      <c r="E59" s="18"/>
      <c r="F59" s="18"/>
      <c r="G59" s="17" t="str">
        <f aca="false">IF(NOT(L59),"",IF(N59&gt;=Setup!$C$12,"Bye",INDEX(Setup!$C$16:$C$31,N59+1)))</f>
        <v/>
      </c>
      <c r="H59" s="17" t="str">
        <f aca="false">IF(OR(NOT(L59),O59,E59="",F59=""),"",IF(E59&gt;F59,D59,IF(F59&gt;E59,G59,"Tie")))</f>
        <v/>
      </c>
      <c r="J59" s="19" t="n">
        <f aca="false">IF(Setup!$C$13=0,"",INT(53/((Setup!$C$13+1)/2)))</f>
        <v>13</v>
      </c>
      <c r="K59" s="19" t="n">
        <f aca="false">IF(Setup!$C$13=0,"",MOD(53,(Setup!$C$13+1)/2))</f>
        <v>1</v>
      </c>
      <c r="L59" s="20" t="b">
        <f aca="false">AND(Setup!$C$13&gt;0,J59&lt;Setup!$C$13)</f>
        <v>0</v>
      </c>
      <c r="M59" s="0" t="str">
        <f aca="false">IF(NOT(L59),"",IF(K59=0,J59,MOD(J59+K59,Setup!$C$13)))</f>
        <v/>
      </c>
      <c r="N59" s="0" t="str">
        <f aca="false">IF(NOT(L59),"",IF(K59=0,Setup!$C$13,MOD(J59-K59+Setup!$C$13,Setup!$C$13)))</f>
        <v/>
      </c>
      <c r="O59" s="20" t="b">
        <f aca="false">AND(L59,OR(M59&gt;=Setup!$C$12,N59&gt;=Setup!$C$12))</f>
        <v>0</v>
      </c>
      <c r="P59" s="19" t="n">
        <f aca="false">IF(AND(L59,NOT(O59),E59&lt;&gt;"",F59&lt;&gt;""),1,0)</f>
        <v>0</v>
      </c>
      <c r="Q59" s="0" t="str">
        <f aca="false">IF(L59,D59&amp;"|"&amp;G59,"")</f>
        <v/>
      </c>
      <c r="R59" s="0" t="str">
        <f aca="false">IF(L59,G59&amp;"|"&amp;D59,"")</f>
        <v/>
      </c>
    </row>
    <row r="60" customFormat="false" ht="15" hidden="false" customHeight="false" outlineLevel="0" collapsed="false">
      <c r="B60" s="16" t="str">
        <f aca="false">IF(L60,J60+1,"")</f>
        <v/>
      </c>
      <c r="C60" s="16" t="str">
        <f aca="false">IF(NOT(L60),"",IF(O60,"Bye",IF(IF(MOD(Setup!$C$12,2)=1,K60,K60+1)&gt;Setup!$C$8,"Next free",IF(MOD(Setup!$C$12,2)=1,K60,K60+1))))</f>
        <v/>
      </c>
      <c r="D60" s="17" t="str">
        <f aca="false">IF(NOT(L60),"",IF(M60&gt;=Setup!$C$12,"Bye",INDEX(Setup!$C$16:$C$31,M60+1)))</f>
        <v/>
      </c>
      <c r="E60" s="18"/>
      <c r="F60" s="18"/>
      <c r="G60" s="17" t="str">
        <f aca="false">IF(NOT(L60),"",IF(N60&gt;=Setup!$C$12,"Bye",INDEX(Setup!$C$16:$C$31,N60+1)))</f>
        <v/>
      </c>
      <c r="H60" s="17" t="str">
        <f aca="false">IF(OR(NOT(L60),O60,E60="",F60=""),"",IF(E60&gt;F60,D60,IF(F60&gt;E60,G60,"Tie")))</f>
        <v/>
      </c>
      <c r="J60" s="19" t="n">
        <f aca="false">IF(Setup!$C$13=0,"",INT(54/((Setup!$C$13+1)/2)))</f>
        <v>13</v>
      </c>
      <c r="K60" s="19" t="n">
        <f aca="false">IF(Setup!$C$13=0,"",MOD(54,(Setup!$C$13+1)/2))</f>
        <v>2</v>
      </c>
      <c r="L60" s="20" t="b">
        <f aca="false">AND(Setup!$C$13&gt;0,J60&lt;Setup!$C$13)</f>
        <v>0</v>
      </c>
      <c r="M60" s="0" t="str">
        <f aca="false">IF(NOT(L60),"",IF(K60=0,J60,MOD(J60+K60,Setup!$C$13)))</f>
        <v/>
      </c>
      <c r="N60" s="0" t="str">
        <f aca="false">IF(NOT(L60),"",IF(K60=0,Setup!$C$13,MOD(J60-K60+Setup!$C$13,Setup!$C$13)))</f>
        <v/>
      </c>
      <c r="O60" s="20" t="b">
        <f aca="false">AND(L60,OR(M60&gt;=Setup!$C$12,N60&gt;=Setup!$C$12))</f>
        <v>0</v>
      </c>
      <c r="P60" s="19" t="n">
        <f aca="false">IF(AND(L60,NOT(O60),E60&lt;&gt;"",F60&lt;&gt;""),1,0)</f>
        <v>0</v>
      </c>
      <c r="Q60" s="0" t="str">
        <f aca="false">IF(L60,D60&amp;"|"&amp;G60,"")</f>
        <v/>
      </c>
      <c r="R60" s="0" t="str">
        <f aca="false">IF(L60,G60&amp;"|"&amp;D60,"")</f>
        <v/>
      </c>
    </row>
    <row r="61" customFormat="false" ht="15" hidden="false" customHeight="false" outlineLevel="0" collapsed="false">
      <c r="B61" s="16" t="str">
        <f aca="false">IF(L61,J61+1,"")</f>
        <v/>
      </c>
      <c r="C61" s="16" t="str">
        <f aca="false">IF(NOT(L61),"",IF(O61,"Bye",IF(IF(MOD(Setup!$C$12,2)=1,K61,K61+1)&gt;Setup!$C$8,"Next free",IF(MOD(Setup!$C$12,2)=1,K61,K61+1))))</f>
        <v/>
      </c>
      <c r="D61" s="17" t="str">
        <f aca="false">IF(NOT(L61),"",IF(M61&gt;=Setup!$C$12,"Bye",INDEX(Setup!$C$16:$C$31,M61+1)))</f>
        <v/>
      </c>
      <c r="E61" s="18"/>
      <c r="F61" s="18"/>
      <c r="G61" s="17" t="str">
        <f aca="false">IF(NOT(L61),"",IF(N61&gt;=Setup!$C$12,"Bye",INDEX(Setup!$C$16:$C$31,N61+1)))</f>
        <v/>
      </c>
      <c r="H61" s="17" t="str">
        <f aca="false">IF(OR(NOT(L61),O61,E61="",F61=""),"",IF(E61&gt;F61,D61,IF(F61&gt;E61,G61,"Tie")))</f>
        <v/>
      </c>
      <c r="J61" s="19" t="n">
        <f aca="false">IF(Setup!$C$13=0,"",INT(55/((Setup!$C$13+1)/2)))</f>
        <v>13</v>
      </c>
      <c r="K61" s="19" t="n">
        <f aca="false">IF(Setup!$C$13=0,"",MOD(55,(Setup!$C$13+1)/2))</f>
        <v>3</v>
      </c>
      <c r="L61" s="20" t="b">
        <f aca="false">AND(Setup!$C$13&gt;0,J61&lt;Setup!$C$13)</f>
        <v>0</v>
      </c>
      <c r="M61" s="0" t="str">
        <f aca="false">IF(NOT(L61),"",IF(K61=0,J61,MOD(J61+K61,Setup!$C$13)))</f>
        <v/>
      </c>
      <c r="N61" s="0" t="str">
        <f aca="false">IF(NOT(L61),"",IF(K61=0,Setup!$C$13,MOD(J61-K61+Setup!$C$13,Setup!$C$13)))</f>
        <v/>
      </c>
      <c r="O61" s="20" t="b">
        <f aca="false">AND(L61,OR(M61&gt;=Setup!$C$12,N61&gt;=Setup!$C$12))</f>
        <v>0</v>
      </c>
      <c r="P61" s="19" t="n">
        <f aca="false">IF(AND(L61,NOT(O61),E61&lt;&gt;"",F61&lt;&gt;""),1,0)</f>
        <v>0</v>
      </c>
      <c r="Q61" s="0" t="str">
        <f aca="false">IF(L61,D61&amp;"|"&amp;G61,"")</f>
        <v/>
      </c>
      <c r="R61" s="0" t="str">
        <f aca="false">IF(L61,G61&amp;"|"&amp;D61,"")</f>
        <v/>
      </c>
    </row>
    <row r="62" customFormat="false" ht="15" hidden="false" customHeight="false" outlineLevel="0" collapsed="false">
      <c r="B62" s="16" t="str">
        <f aca="false">IF(L62,J62+1,"")</f>
        <v/>
      </c>
      <c r="C62" s="16" t="str">
        <f aca="false">IF(NOT(L62),"",IF(O62,"Bye",IF(IF(MOD(Setup!$C$12,2)=1,K62,K62+1)&gt;Setup!$C$8,"Next free",IF(MOD(Setup!$C$12,2)=1,K62,K62+1))))</f>
        <v/>
      </c>
      <c r="D62" s="17" t="str">
        <f aca="false">IF(NOT(L62),"",IF(M62&gt;=Setup!$C$12,"Bye",INDEX(Setup!$C$16:$C$31,M62+1)))</f>
        <v/>
      </c>
      <c r="E62" s="18"/>
      <c r="F62" s="18"/>
      <c r="G62" s="17" t="str">
        <f aca="false">IF(NOT(L62),"",IF(N62&gt;=Setup!$C$12,"Bye",INDEX(Setup!$C$16:$C$31,N62+1)))</f>
        <v/>
      </c>
      <c r="H62" s="17" t="str">
        <f aca="false">IF(OR(NOT(L62),O62,E62="",F62=""),"",IF(E62&gt;F62,D62,IF(F62&gt;E62,G62,"Tie")))</f>
        <v/>
      </c>
      <c r="J62" s="19" t="n">
        <f aca="false">IF(Setup!$C$13=0,"",INT(56/((Setup!$C$13+1)/2)))</f>
        <v>14</v>
      </c>
      <c r="K62" s="19" t="n">
        <f aca="false">IF(Setup!$C$13=0,"",MOD(56,(Setup!$C$13+1)/2))</f>
        <v>0</v>
      </c>
      <c r="L62" s="20" t="b">
        <f aca="false">AND(Setup!$C$13&gt;0,J62&lt;Setup!$C$13)</f>
        <v>0</v>
      </c>
      <c r="M62" s="0" t="str">
        <f aca="false">IF(NOT(L62),"",IF(K62=0,J62,MOD(J62+K62,Setup!$C$13)))</f>
        <v/>
      </c>
      <c r="N62" s="0" t="str">
        <f aca="false">IF(NOT(L62),"",IF(K62=0,Setup!$C$13,MOD(J62-K62+Setup!$C$13,Setup!$C$13)))</f>
        <v/>
      </c>
      <c r="O62" s="20" t="b">
        <f aca="false">AND(L62,OR(M62&gt;=Setup!$C$12,N62&gt;=Setup!$C$12))</f>
        <v>0</v>
      </c>
      <c r="P62" s="19" t="n">
        <f aca="false">IF(AND(L62,NOT(O62),E62&lt;&gt;"",F62&lt;&gt;""),1,0)</f>
        <v>0</v>
      </c>
      <c r="Q62" s="0" t="str">
        <f aca="false">IF(L62,D62&amp;"|"&amp;G62,"")</f>
        <v/>
      </c>
      <c r="R62" s="0" t="str">
        <f aca="false">IF(L62,G62&amp;"|"&amp;D62,"")</f>
        <v/>
      </c>
    </row>
    <row r="63" customFormat="false" ht="15" hidden="false" customHeight="false" outlineLevel="0" collapsed="false">
      <c r="B63" s="16" t="str">
        <f aca="false">IF(L63,J63+1,"")</f>
        <v/>
      </c>
      <c r="C63" s="16" t="str">
        <f aca="false">IF(NOT(L63),"",IF(O63,"Bye",IF(IF(MOD(Setup!$C$12,2)=1,K63,K63+1)&gt;Setup!$C$8,"Next free",IF(MOD(Setup!$C$12,2)=1,K63,K63+1))))</f>
        <v/>
      </c>
      <c r="D63" s="17" t="str">
        <f aca="false">IF(NOT(L63),"",IF(M63&gt;=Setup!$C$12,"Bye",INDEX(Setup!$C$16:$C$31,M63+1)))</f>
        <v/>
      </c>
      <c r="E63" s="18"/>
      <c r="F63" s="18"/>
      <c r="G63" s="17" t="str">
        <f aca="false">IF(NOT(L63),"",IF(N63&gt;=Setup!$C$12,"Bye",INDEX(Setup!$C$16:$C$31,N63+1)))</f>
        <v/>
      </c>
      <c r="H63" s="17" t="str">
        <f aca="false">IF(OR(NOT(L63),O63,E63="",F63=""),"",IF(E63&gt;F63,D63,IF(F63&gt;E63,G63,"Tie")))</f>
        <v/>
      </c>
      <c r="J63" s="19" t="n">
        <f aca="false">IF(Setup!$C$13=0,"",INT(57/((Setup!$C$13+1)/2)))</f>
        <v>14</v>
      </c>
      <c r="K63" s="19" t="n">
        <f aca="false">IF(Setup!$C$13=0,"",MOD(57,(Setup!$C$13+1)/2))</f>
        <v>1</v>
      </c>
      <c r="L63" s="20" t="b">
        <f aca="false">AND(Setup!$C$13&gt;0,J63&lt;Setup!$C$13)</f>
        <v>0</v>
      </c>
      <c r="M63" s="0" t="str">
        <f aca="false">IF(NOT(L63),"",IF(K63=0,J63,MOD(J63+K63,Setup!$C$13)))</f>
        <v/>
      </c>
      <c r="N63" s="0" t="str">
        <f aca="false">IF(NOT(L63),"",IF(K63=0,Setup!$C$13,MOD(J63-K63+Setup!$C$13,Setup!$C$13)))</f>
        <v/>
      </c>
      <c r="O63" s="20" t="b">
        <f aca="false">AND(L63,OR(M63&gt;=Setup!$C$12,N63&gt;=Setup!$C$12))</f>
        <v>0</v>
      </c>
      <c r="P63" s="19" t="n">
        <f aca="false">IF(AND(L63,NOT(O63),E63&lt;&gt;"",F63&lt;&gt;""),1,0)</f>
        <v>0</v>
      </c>
      <c r="Q63" s="0" t="str">
        <f aca="false">IF(L63,D63&amp;"|"&amp;G63,"")</f>
        <v/>
      </c>
      <c r="R63" s="0" t="str">
        <f aca="false">IF(L63,G63&amp;"|"&amp;D63,"")</f>
        <v/>
      </c>
    </row>
    <row r="64" customFormat="false" ht="15" hidden="false" customHeight="false" outlineLevel="0" collapsed="false">
      <c r="B64" s="16" t="str">
        <f aca="false">IF(L64,J64+1,"")</f>
        <v/>
      </c>
      <c r="C64" s="16" t="str">
        <f aca="false">IF(NOT(L64),"",IF(O64,"Bye",IF(IF(MOD(Setup!$C$12,2)=1,K64,K64+1)&gt;Setup!$C$8,"Next free",IF(MOD(Setup!$C$12,2)=1,K64,K64+1))))</f>
        <v/>
      </c>
      <c r="D64" s="17" t="str">
        <f aca="false">IF(NOT(L64),"",IF(M64&gt;=Setup!$C$12,"Bye",INDEX(Setup!$C$16:$C$31,M64+1)))</f>
        <v/>
      </c>
      <c r="E64" s="18"/>
      <c r="F64" s="18"/>
      <c r="G64" s="17" t="str">
        <f aca="false">IF(NOT(L64),"",IF(N64&gt;=Setup!$C$12,"Bye",INDEX(Setup!$C$16:$C$31,N64+1)))</f>
        <v/>
      </c>
      <c r="H64" s="17" t="str">
        <f aca="false">IF(OR(NOT(L64),O64,E64="",F64=""),"",IF(E64&gt;F64,D64,IF(F64&gt;E64,G64,"Tie")))</f>
        <v/>
      </c>
      <c r="J64" s="19" t="n">
        <f aca="false">IF(Setup!$C$13=0,"",INT(58/((Setup!$C$13+1)/2)))</f>
        <v>14</v>
      </c>
      <c r="K64" s="19" t="n">
        <f aca="false">IF(Setup!$C$13=0,"",MOD(58,(Setup!$C$13+1)/2))</f>
        <v>2</v>
      </c>
      <c r="L64" s="20" t="b">
        <f aca="false">AND(Setup!$C$13&gt;0,J64&lt;Setup!$C$13)</f>
        <v>0</v>
      </c>
      <c r="M64" s="0" t="str">
        <f aca="false">IF(NOT(L64),"",IF(K64=0,J64,MOD(J64+K64,Setup!$C$13)))</f>
        <v/>
      </c>
      <c r="N64" s="0" t="str">
        <f aca="false">IF(NOT(L64),"",IF(K64=0,Setup!$C$13,MOD(J64-K64+Setup!$C$13,Setup!$C$13)))</f>
        <v/>
      </c>
      <c r="O64" s="20" t="b">
        <f aca="false">AND(L64,OR(M64&gt;=Setup!$C$12,N64&gt;=Setup!$C$12))</f>
        <v>0</v>
      </c>
      <c r="P64" s="19" t="n">
        <f aca="false">IF(AND(L64,NOT(O64),E64&lt;&gt;"",F64&lt;&gt;""),1,0)</f>
        <v>0</v>
      </c>
      <c r="Q64" s="0" t="str">
        <f aca="false">IF(L64,D64&amp;"|"&amp;G64,"")</f>
        <v/>
      </c>
      <c r="R64" s="0" t="str">
        <f aca="false">IF(L64,G64&amp;"|"&amp;D64,"")</f>
        <v/>
      </c>
    </row>
    <row r="65" customFormat="false" ht="15" hidden="false" customHeight="false" outlineLevel="0" collapsed="false">
      <c r="B65" s="16" t="str">
        <f aca="false">IF(L65,J65+1,"")</f>
        <v/>
      </c>
      <c r="C65" s="16" t="str">
        <f aca="false">IF(NOT(L65),"",IF(O65,"Bye",IF(IF(MOD(Setup!$C$12,2)=1,K65,K65+1)&gt;Setup!$C$8,"Next free",IF(MOD(Setup!$C$12,2)=1,K65,K65+1))))</f>
        <v/>
      </c>
      <c r="D65" s="17" t="str">
        <f aca="false">IF(NOT(L65),"",IF(M65&gt;=Setup!$C$12,"Bye",INDEX(Setup!$C$16:$C$31,M65+1)))</f>
        <v/>
      </c>
      <c r="E65" s="18"/>
      <c r="F65" s="18"/>
      <c r="G65" s="17" t="str">
        <f aca="false">IF(NOT(L65),"",IF(N65&gt;=Setup!$C$12,"Bye",INDEX(Setup!$C$16:$C$31,N65+1)))</f>
        <v/>
      </c>
      <c r="H65" s="17" t="str">
        <f aca="false">IF(OR(NOT(L65),O65,E65="",F65=""),"",IF(E65&gt;F65,D65,IF(F65&gt;E65,G65,"Tie")))</f>
        <v/>
      </c>
      <c r="J65" s="19" t="n">
        <f aca="false">IF(Setup!$C$13=0,"",INT(59/((Setup!$C$13+1)/2)))</f>
        <v>14</v>
      </c>
      <c r="K65" s="19" t="n">
        <f aca="false">IF(Setup!$C$13=0,"",MOD(59,(Setup!$C$13+1)/2))</f>
        <v>3</v>
      </c>
      <c r="L65" s="20" t="b">
        <f aca="false">AND(Setup!$C$13&gt;0,J65&lt;Setup!$C$13)</f>
        <v>0</v>
      </c>
      <c r="M65" s="0" t="str">
        <f aca="false">IF(NOT(L65),"",IF(K65=0,J65,MOD(J65+K65,Setup!$C$13)))</f>
        <v/>
      </c>
      <c r="N65" s="0" t="str">
        <f aca="false">IF(NOT(L65),"",IF(K65=0,Setup!$C$13,MOD(J65-K65+Setup!$C$13,Setup!$C$13)))</f>
        <v/>
      </c>
      <c r="O65" s="20" t="b">
        <f aca="false">AND(L65,OR(M65&gt;=Setup!$C$12,N65&gt;=Setup!$C$12))</f>
        <v>0</v>
      </c>
      <c r="P65" s="19" t="n">
        <f aca="false">IF(AND(L65,NOT(O65),E65&lt;&gt;"",F65&lt;&gt;""),1,0)</f>
        <v>0</v>
      </c>
      <c r="Q65" s="0" t="str">
        <f aca="false">IF(L65,D65&amp;"|"&amp;G65,"")</f>
        <v/>
      </c>
      <c r="R65" s="0" t="str">
        <f aca="false">IF(L65,G65&amp;"|"&amp;D65,"")</f>
        <v/>
      </c>
    </row>
    <row r="66" customFormat="false" ht="15" hidden="false" customHeight="false" outlineLevel="0" collapsed="false">
      <c r="B66" s="16" t="str">
        <f aca="false">IF(L66,J66+1,"")</f>
        <v/>
      </c>
      <c r="C66" s="16" t="str">
        <f aca="false">IF(NOT(L66),"",IF(O66,"Bye",IF(IF(MOD(Setup!$C$12,2)=1,K66,K66+1)&gt;Setup!$C$8,"Next free",IF(MOD(Setup!$C$12,2)=1,K66,K66+1))))</f>
        <v/>
      </c>
      <c r="D66" s="17" t="str">
        <f aca="false">IF(NOT(L66),"",IF(M66&gt;=Setup!$C$12,"Bye",INDEX(Setup!$C$16:$C$31,M66+1)))</f>
        <v/>
      </c>
      <c r="E66" s="18"/>
      <c r="F66" s="18"/>
      <c r="G66" s="17" t="str">
        <f aca="false">IF(NOT(L66),"",IF(N66&gt;=Setup!$C$12,"Bye",INDEX(Setup!$C$16:$C$31,N66+1)))</f>
        <v/>
      </c>
      <c r="H66" s="17" t="str">
        <f aca="false">IF(OR(NOT(L66),O66,E66="",F66=""),"",IF(E66&gt;F66,D66,IF(F66&gt;E66,G66,"Tie")))</f>
        <v/>
      </c>
      <c r="J66" s="19" t="n">
        <f aca="false">IF(Setup!$C$13=0,"",INT(60/((Setup!$C$13+1)/2)))</f>
        <v>15</v>
      </c>
      <c r="K66" s="19" t="n">
        <f aca="false">IF(Setup!$C$13=0,"",MOD(60,(Setup!$C$13+1)/2))</f>
        <v>0</v>
      </c>
      <c r="L66" s="20" t="b">
        <f aca="false">AND(Setup!$C$13&gt;0,J66&lt;Setup!$C$13)</f>
        <v>0</v>
      </c>
      <c r="M66" s="0" t="str">
        <f aca="false">IF(NOT(L66),"",IF(K66=0,J66,MOD(J66+K66,Setup!$C$13)))</f>
        <v/>
      </c>
      <c r="N66" s="0" t="str">
        <f aca="false">IF(NOT(L66),"",IF(K66=0,Setup!$C$13,MOD(J66-K66+Setup!$C$13,Setup!$C$13)))</f>
        <v/>
      </c>
      <c r="O66" s="20" t="b">
        <f aca="false">AND(L66,OR(M66&gt;=Setup!$C$12,N66&gt;=Setup!$C$12))</f>
        <v>0</v>
      </c>
      <c r="P66" s="19" t="n">
        <f aca="false">IF(AND(L66,NOT(O66),E66&lt;&gt;"",F66&lt;&gt;""),1,0)</f>
        <v>0</v>
      </c>
      <c r="Q66" s="0" t="str">
        <f aca="false">IF(L66,D66&amp;"|"&amp;G66,"")</f>
        <v/>
      </c>
      <c r="R66" s="0" t="str">
        <f aca="false">IF(L66,G66&amp;"|"&amp;D66,"")</f>
        <v/>
      </c>
    </row>
    <row r="67" customFormat="false" ht="15" hidden="false" customHeight="false" outlineLevel="0" collapsed="false">
      <c r="B67" s="16" t="str">
        <f aca="false">IF(L67,J67+1,"")</f>
        <v/>
      </c>
      <c r="C67" s="16" t="str">
        <f aca="false">IF(NOT(L67),"",IF(O67,"Bye",IF(IF(MOD(Setup!$C$12,2)=1,K67,K67+1)&gt;Setup!$C$8,"Next free",IF(MOD(Setup!$C$12,2)=1,K67,K67+1))))</f>
        <v/>
      </c>
      <c r="D67" s="17" t="str">
        <f aca="false">IF(NOT(L67),"",IF(M67&gt;=Setup!$C$12,"Bye",INDEX(Setup!$C$16:$C$31,M67+1)))</f>
        <v/>
      </c>
      <c r="E67" s="18"/>
      <c r="F67" s="18"/>
      <c r="G67" s="17" t="str">
        <f aca="false">IF(NOT(L67),"",IF(N67&gt;=Setup!$C$12,"Bye",INDEX(Setup!$C$16:$C$31,N67+1)))</f>
        <v/>
      </c>
      <c r="H67" s="17" t="str">
        <f aca="false">IF(OR(NOT(L67),O67,E67="",F67=""),"",IF(E67&gt;F67,D67,IF(F67&gt;E67,G67,"Tie")))</f>
        <v/>
      </c>
      <c r="J67" s="19" t="n">
        <f aca="false">IF(Setup!$C$13=0,"",INT(61/((Setup!$C$13+1)/2)))</f>
        <v>15</v>
      </c>
      <c r="K67" s="19" t="n">
        <f aca="false">IF(Setup!$C$13=0,"",MOD(61,(Setup!$C$13+1)/2))</f>
        <v>1</v>
      </c>
      <c r="L67" s="20" t="b">
        <f aca="false">AND(Setup!$C$13&gt;0,J67&lt;Setup!$C$13)</f>
        <v>0</v>
      </c>
      <c r="M67" s="0" t="str">
        <f aca="false">IF(NOT(L67),"",IF(K67=0,J67,MOD(J67+K67,Setup!$C$13)))</f>
        <v/>
      </c>
      <c r="N67" s="0" t="str">
        <f aca="false">IF(NOT(L67),"",IF(K67=0,Setup!$C$13,MOD(J67-K67+Setup!$C$13,Setup!$C$13)))</f>
        <v/>
      </c>
      <c r="O67" s="20" t="b">
        <f aca="false">AND(L67,OR(M67&gt;=Setup!$C$12,N67&gt;=Setup!$C$12))</f>
        <v>0</v>
      </c>
      <c r="P67" s="19" t="n">
        <f aca="false">IF(AND(L67,NOT(O67),E67&lt;&gt;"",F67&lt;&gt;""),1,0)</f>
        <v>0</v>
      </c>
      <c r="Q67" s="0" t="str">
        <f aca="false">IF(L67,D67&amp;"|"&amp;G67,"")</f>
        <v/>
      </c>
      <c r="R67" s="0" t="str">
        <f aca="false">IF(L67,G67&amp;"|"&amp;D67,"")</f>
        <v/>
      </c>
    </row>
    <row r="68" customFormat="false" ht="15" hidden="false" customHeight="false" outlineLevel="0" collapsed="false">
      <c r="B68" s="16" t="str">
        <f aca="false">IF(L68,J68+1,"")</f>
        <v/>
      </c>
      <c r="C68" s="16" t="str">
        <f aca="false">IF(NOT(L68),"",IF(O68,"Bye",IF(IF(MOD(Setup!$C$12,2)=1,K68,K68+1)&gt;Setup!$C$8,"Next free",IF(MOD(Setup!$C$12,2)=1,K68,K68+1))))</f>
        <v/>
      </c>
      <c r="D68" s="17" t="str">
        <f aca="false">IF(NOT(L68),"",IF(M68&gt;=Setup!$C$12,"Bye",INDEX(Setup!$C$16:$C$31,M68+1)))</f>
        <v/>
      </c>
      <c r="E68" s="18"/>
      <c r="F68" s="18"/>
      <c r="G68" s="17" t="str">
        <f aca="false">IF(NOT(L68),"",IF(N68&gt;=Setup!$C$12,"Bye",INDEX(Setup!$C$16:$C$31,N68+1)))</f>
        <v/>
      </c>
      <c r="H68" s="17" t="str">
        <f aca="false">IF(OR(NOT(L68),O68,E68="",F68=""),"",IF(E68&gt;F68,D68,IF(F68&gt;E68,G68,"Tie")))</f>
        <v/>
      </c>
      <c r="J68" s="19" t="n">
        <f aca="false">IF(Setup!$C$13=0,"",INT(62/((Setup!$C$13+1)/2)))</f>
        <v>15</v>
      </c>
      <c r="K68" s="19" t="n">
        <f aca="false">IF(Setup!$C$13=0,"",MOD(62,(Setup!$C$13+1)/2))</f>
        <v>2</v>
      </c>
      <c r="L68" s="20" t="b">
        <f aca="false">AND(Setup!$C$13&gt;0,J68&lt;Setup!$C$13)</f>
        <v>0</v>
      </c>
      <c r="M68" s="0" t="str">
        <f aca="false">IF(NOT(L68),"",IF(K68=0,J68,MOD(J68+K68,Setup!$C$13)))</f>
        <v/>
      </c>
      <c r="N68" s="0" t="str">
        <f aca="false">IF(NOT(L68),"",IF(K68=0,Setup!$C$13,MOD(J68-K68+Setup!$C$13,Setup!$C$13)))</f>
        <v/>
      </c>
      <c r="O68" s="20" t="b">
        <f aca="false">AND(L68,OR(M68&gt;=Setup!$C$12,N68&gt;=Setup!$C$12))</f>
        <v>0</v>
      </c>
      <c r="P68" s="19" t="n">
        <f aca="false">IF(AND(L68,NOT(O68),E68&lt;&gt;"",F68&lt;&gt;""),1,0)</f>
        <v>0</v>
      </c>
      <c r="Q68" s="0" t="str">
        <f aca="false">IF(L68,D68&amp;"|"&amp;G68,"")</f>
        <v/>
      </c>
      <c r="R68" s="0" t="str">
        <f aca="false">IF(L68,G68&amp;"|"&amp;D68,"")</f>
        <v/>
      </c>
    </row>
    <row r="69" customFormat="false" ht="15" hidden="false" customHeight="false" outlineLevel="0" collapsed="false">
      <c r="B69" s="16" t="str">
        <f aca="false">IF(L69,J69+1,"")</f>
        <v/>
      </c>
      <c r="C69" s="16" t="str">
        <f aca="false">IF(NOT(L69),"",IF(O69,"Bye",IF(IF(MOD(Setup!$C$12,2)=1,K69,K69+1)&gt;Setup!$C$8,"Next free",IF(MOD(Setup!$C$12,2)=1,K69,K69+1))))</f>
        <v/>
      </c>
      <c r="D69" s="17" t="str">
        <f aca="false">IF(NOT(L69),"",IF(M69&gt;=Setup!$C$12,"Bye",INDEX(Setup!$C$16:$C$31,M69+1)))</f>
        <v/>
      </c>
      <c r="E69" s="18"/>
      <c r="F69" s="18"/>
      <c r="G69" s="17" t="str">
        <f aca="false">IF(NOT(L69),"",IF(N69&gt;=Setup!$C$12,"Bye",INDEX(Setup!$C$16:$C$31,N69+1)))</f>
        <v/>
      </c>
      <c r="H69" s="17" t="str">
        <f aca="false">IF(OR(NOT(L69),O69,E69="",F69=""),"",IF(E69&gt;F69,D69,IF(F69&gt;E69,G69,"Tie")))</f>
        <v/>
      </c>
      <c r="J69" s="19" t="n">
        <f aca="false">IF(Setup!$C$13=0,"",INT(63/((Setup!$C$13+1)/2)))</f>
        <v>15</v>
      </c>
      <c r="K69" s="19" t="n">
        <f aca="false">IF(Setup!$C$13=0,"",MOD(63,(Setup!$C$13+1)/2))</f>
        <v>3</v>
      </c>
      <c r="L69" s="20" t="b">
        <f aca="false">AND(Setup!$C$13&gt;0,J69&lt;Setup!$C$13)</f>
        <v>0</v>
      </c>
      <c r="M69" s="0" t="str">
        <f aca="false">IF(NOT(L69),"",IF(K69=0,J69,MOD(J69+K69,Setup!$C$13)))</f>
        <v/>
      </c>
      <c r="N69" s="0" t="str">
        <f aca="false">IF(NOT(L69),"",IF(K69=0,Setup!$C$13,MOD(J69-K69+Setup!$C$13,Setup!$C$13)))</f>
        <v/>
      </c>
      <c r="O69" s="20" t="b">
        <f aca="false">AND(L69,OR(M69&gt;=Setup!$C$12,N69&gt;=Setup!$C$12))</f>
        <v>0</v>
      </c>
      <c r="P69" s="19" t="n">
        <f aca="false">IF(AND(L69,NOT(O69),E69&lt;&gt;"",F69&lt;&gt;""),1,0)</f>
        <v>0</v>
      </c>
      <c r="Q69" s="0" t="str">
        <f aca="false">IF(L69,D69&amp;"|"&amp;G69,"")</f>
        <v/>
      </c>
      <c r="R69" s="0" t="str">
        <f aca="false">IF(L69,G69&amp;"|"&amp;D69,"")</f>
        <v/>
      </c>
    </row>
    <row r="70" customFormat="false" ht="15" hidden="false" customHeight="false" outlineLevel="0" collapsed="false">
      <c r="B70" s="16" t="str">
        <f aca="false">IF(L70,J70+1,"")</f>
        <v/>
      </c>
      <c r="C70" s="16" t="str">
        <f aca="false">IF(NOT(L70),"",IF(O70,"Bye",IF(IF(MOD(Setup!$C$12,2)=1,K70,K70+1)&gt;Setup!$C$8,"Next free",IF(MOD(Setup!$C$12,2)=1,K70,K70+1))))</f>
        <v/>
      </c>
      <c r="D70" s="17" t="str">
        <f aca="false">IF(NOT(L70),"",IF(M70&gt;=Setup!$C$12,"Bye",INDEX(Setup!$C$16:$C$31,M70+1)))</f>
        <v/>
      </c>
      <c r="E70" s="18"/>
      <c r="F70" s="18"/>
      <c r="G70" s="17" t="str">
        <f aca="false">IF(NOT(L70),"",IF(N70&gt;=Setup!$C$12,"Bye",INDEX(Setup!$C$16:$C$31,N70+1)))</f>
        <v/>
      </c>
      <c r="H70" s="17" t="str">
        <f aca="false">IF(OR(NOT(L70),O70,E70="",F70=""),"",IF(E70&gt;F70,D70,IF(F70&gt;E70,G70,"Tie")))</f>
        <v/>
      </c>
      <c r="J70" s="19" t="n">
        <f aca="false">IF(Setup!$C$13=0,"",INT(64/((Setup!$C$13+1)/2)))</f>
        <v>16</v>
      </c>
      <c r="K70" s="19" t="n">
        <f aca="false">IF(Setup!$C$13=0,"",MOD(64,(Setup!$C$13+1)/2))</f>
        <v>0</v>
      </c>
      <c r="L70" s="20" t="b">
        <f aca="false">AND(Setup!$C$13&gt;0,J70&lt;Setup!$C$13)</f>
        <v>0</v>
      </c>
      <c r="M70" s="0" t="str">
        <f aca="false">IF(NOT(L70),"",IF(K70=0,J70,MOD(J70+K70,Setup!$C$13)))</f>
        <v/>
      </c>
      <c r="N70" s="0" t="str">
        <f aca="false">IF(NOT(L70),"",IF(K70=0,Setup!$C$13,MOD(J70-K70+Setup!$C$13,Setup!$C$13)))</f>
        <v/>
      </c>
      <c r="O70" s="20" t="b">
        <f aca="false">AND(L70,OR(M70&gt;=Setup!$C$12,N70&gt;=Setup!$C$12))</f>
        <v>0</v>
      </c>
      <c r="P70" s="19" t="n">
        <f aca="false">IF(AND(L70,NOT(O70),E70&lt;&gt;"",F70&lt;&gt;""),1,0)</f>
        <v>0</v>
      </c>
      <c r="Q70" s="0" t="str">
        <f aca="false">IF(L70,D70&amp;"|"&amp;G70,"")</f>
        <v/>
      </c>
      <c r="R70" s="0" t="str">
        <f aca="false">IF(L70,G70&amp;"|"&amp;D70,"")</f>
        <v/>
      </c>
    </row>
    <row r="71" customFormat="false" ht="15" hidden="false" customHeight="false" outlineLevel="0" collapsed="false">
      <c r="B71" s="16" t="str">
        <f aca="false">IF(L71,J71+1,"")</f>
        <v/>
      </c>
      <c r="C71" s="16" t="str">
        <f aca="false">IF(NOT(L71),"",IF(O71,"Bye",IF(IF(MOD(Setup!$C$12,2)=1,K71,K71+1)&gt;Setup!$C$8,"Next free",IF(MOD(Setup!$C$12,2)=1,K71,K71+1))))</f>
        <v/>
      </c>
      <c r="D71" s="17" t="str">
        <f aca="false">IF(NOT(L71),"",IF(M71&gt;=Setup!$C$12,"Bye",INDEX(Setup!$C$16:$C$31,M71+1)))</f>
        <v/>
      </c>
      <c r="E71" s="18"/>
      <c r="F71" s="18"/>
      <c r="G71" s="17" t="str">
        <f aca="false">IF(NOT(L71),"",IF(N71&gt;=Setup!$C$12,"Bye",INDEX(Setup!$C$16:$C$31,N71+1)))</f>
        <v/>
      </c>
      <c r="H71" s="17" t="str">
        <f aca="false">IF(OR(NOT(L71),O71,E71="",F71=""),"",IF(E71&gt;F71,D71,IF(F71&gt;E71,G71,"Tie")))</f>
        <v/>
      </c>
      <c r="J71" s="19" t="n">
        <f aca="false">IF(Setup!$C$13=0,"",INT(65/((Setup!$C$13+1)/2)))</f>
        <v>16</v>
      </c>
      <c r="K71" s="19" t="n">
        <f aca="false">IF(Setup!$C$13=0,"",MOD(65,(Setup!$C$13+1)/2))</f>
        <v>1</v>
      </c>
      <c r="L71" s="20" t="b">
        <f aca="false">AND(Setup!$C$13&gt;0,J71&lt;Setup!$C$13)</f>
        <v>0</v>
      </c>
      <c r="M71" s="0" t="str">
        <f aca="false">IF(NOT(L71),"",IF(K71=0,J71,MOD(J71+K71,Setup!$C$13)))</f>
        <v/>
      </c>
      <c r="N71" s="0" t="str">
        <f aca="false">IF(NOT(L71),"",IF(K71=0,Setup!$C$13,MOD(J71-K71+Setup!$C$13,Setup!$C$13)))</f>
        <v/>
      </c>
      <c r="O71" s="20" t="b">
        <f aca="false">AND(L71,OR(M71&gt;=Setup!$C$12,N71&gt;=Setup!$C$12))</f>
        <v>0</v>
      </c>
      <c r="P71" s="19" t="n">
        <f aca="false">IF(AND(L71,NOT(O71),E71&lt;&gt;"",F71&lt;&gt;""),1,0)</f>
        <v>0</v>
      </c>
      <c r="Q71" s="0" t="str">
        <f aca="false">IF(L71,D71&amp;"|"&amp;G71,"")</f>
        <v/>
      </c>
      <c r="R71" s="0" t="str">
        <f aca="false">IF(L71,G71&amp;"|"&amp;D71,"")</f>
        <v/>
      </c>
    </row>
    <row r="72" customFormat="false" ht="15" hidden="false" customHeight="false" outlineLevel="0" collapsed="false">
      <c r="B72" s="16" t="str">
        <f aca="false">IF(L72,J72+1,"")</f>
        <v/>
      </c>
      <c r="C72" s="16" t="str">
        <f aca="false">IF(NOT(L72),"",IF(O72,"Bye",IF(IF(MOD(Setup!$C$12,2)=1,K72,K72+1)&gt;Setup!$C$8,"Next free",IF(MOD(Setup!$C$12,2)=1,K72,K72+1))))</f>
        <v/>
      </c>
      <c r="D72" s="17" t="str">
        <f aca="false">IF(NOT(L72),"",IF(M72&gt;=Setup!$C$12,"Bye",INDEX(Setup!$C$16:$C$31,M72+1)))</f>
        <v/>
      </c>
      <c r="E72" s="18"/>
      <c r="F72" s="18"/>
      <c r="G72" s="17" t="str">
        <f aca="false">IF(NOT(L72),"",IF(N72&gt;=Setup!$C$12,"Bye",INDEX(Setup!$C$16:$C$31,N72+1)))</f>
        <v/>
      </c>
      <c r="H72" s="17" t="str">
        <f aca="false">IF(OR(NOT(L72),O72,E72="",F72=""),"",IF(E72&gt;F72,D72,IF(F72&gt;E72,G72,"Tie")))</f>
        <v/>
      </c>
      <c r="J72" s="19" t="n">
        <f aca="false">IF(Setup!$C$13=0,"",INT(66/((Setup!$C$13+1)/2)))</f>
        <v>16</v>
      </c>
      <c r="K72" s="19" t="n">
        <f aca="false">IF(Setup!$C$13=0,"",MOD(66,(Setup!$C$13+1)/2))</f>
        <v>2</v>
      </c>
      <c r="L72" s="20" t="b">
        <f aca="false">AND(Setup!$C$13&gt;0,J72&lt;Setup!$C$13)</f>
        <v>0</v>
      </c>
      <c r="M72" s="0" t="str">
        <f aca="false">IF(NOT(L72),"",IF(K72=0,J72,MOD(J72+K72,Setup!$C$13)))</f>
        <v/>
      </c>
      <c r="N72" s="0" t="str">
        <f aca="false">IF(NOT(L72),"",IF(K72=0,Setup!$C$13,MOD(J72-K72+Setup!$C$13,Setup!$C$13)))</f>
        <v/>
      </c>
      <c r="O72" s="20" t="b">
        <f aca="false">AND(L72,OR(M72&gt;=Setup!$C$12,N72&gt;=Setup!$C$12))</f>
        <v>0</v>
      </c>
      <c r="P72" s="19" t="n">
        <f aca="false">IF(AND(L72,NOT(O72),E72&lt;&gt;"",F72&lt;&gt;""),1,0)</f>
        <v>0</v>
      </c>
      <c r="Q72" s="0" t="str">
        <f aca="false">IF(L72,D72&amp;"|"&amp;G72,"")</f>
        <v/>
      </c>
      <c r="R72" s="0" t="str">
        <f aca="false">IF(L72,G72&amp;"|"&amp;D72,"")</f>
        <v/>
      </c>
    </row>
    <row r="73" customFormat="false" ht="15" hidden="false" customHeight="false" outlineLevel="0" collapsed="false">
      <c r="B73" s="16" t="str">
        <f aca="false">IF(L73,J73+1,"")</f>
        <v/>
      </c>
      <c r="C73" s="16" t="str">
        <f aca="false">IF(NOT(L73),"",IF(O73,"Bye",IF(IF(MOD(Setup!$C$12,2)=1,K73,K73+1)&gt;Setup!$C$8,"Next free",IF(MOD(Setup!$C$12,2)=1,K73,K73+1))))</f>
        <v/>
      </c>
      <c r="D73" s="17" t="str">
        <f aca="false">IF(NOT(L73),"",IF(M73&gt;=Setup!$C$12,"Bye",INDEX(Setup!$C$16:$C$31,M73+1)))</f>
        <v/>
      </c>
      <c r="E73" s="18"/>
      <c r="F73" s="18"/>
      <c r="G73" s="17" t="str">
        <f aca="false">IF(NOT(L73),"",IF(N73&gt;=Setup!$C$12,"Bye",INDEX(Setup!$C$16:$C$31,N73+1)))</f>
        <v/>
      </c>
      <c r="H73" s="17" t="str">
        <f aca="false">IF(OR(NOT(L73),O73,E73="",F73=""),"",IF(E73&gt;F73,D73,IF(F73&gt;E73,G73,"Tie")))</f>
        <v/>
      </c>
      <c r="J73" s="19" t="n">
        <f aca="false">IF(Setup!$C$13=0,"",INT(67/((Setup!$C$13+1)/2)))</f>
        <v>16</v>
      </c>
      <c r="K73" s="19" t="n">
        <f aca="false">IF(Setup!$C$13=0,"",MOD(67,(Setup!$C$13+1)/2))</f>
        <v>3</v>
      </c>
      <c r="L73" s="20" t="b">
        <f aca="false">AND(Setup!$C$13&gt;0,J73&lt;Setup!$C$13)</f>
        <v>0</v>
      </c>
      <c r="M73" s="0" t="str">
        <f aca="false">IF(NOT(L73),"",IF(K73=0,J73,MOD(J73+K73,Setup!$C$13)))</f>
        <v/>
      </c>
      <c r="N73" s="0" t="str">
        <f aca="false">IF(NOT(L73),"",IF(K73=0,Setup!$C$13,MOD(J73-K73+Setup!$C$13,Setup!$C$13)))</f>
        <v/>
      </c>
      <c r="O73" s="20" t="b">
        <f aca="false">AND(L73,OR(M73&gt;=Setup!$C$12,N73&gt;=Setup!$C$12))</f>
        <v>0</v>
      </c>
      <c r="P73" s="19" t="n">
        <f aca="false">IF(AND(L73,NOT(O73),E73&lt;&gt;"",F73&lt;&gt;""),1,0)</f>
        <v>0</v>
      </c>
      <c r="Q73" s="0" t="str">
        <f aca="false">IF(L73,D73&amp;"|"&amp;G73,"")</f>
        <v/>
      </c>
      <c r="R73" s="0" t="str">
        <f aca="false">IF(L73,G73&amp;"|"&amp;D73,"")</f>
        <v/>
      </c>
    </row>
    <row r="74" customFormat="false" ht="15" hidden="false" customHeight="false" outlineLevel="0" collapsed="false">
      <c r="B74" s="16" t="str">
        <f aca="false">IF(L74,J74+1,"")</f>
        <v/>
      </c>
      <c r="C74" s="16" t="str">
        <f aca="false">IF(NOT(L74),"",IF(O74,"Bye",IF(IF(MOD(Setup!$C$12,2)=1,K74,K74+1)&gt;Setup!$C$8,"Next free",IF(MOD(Setup!$C$12,2)=1,K74,K74+1))))</f>
        <v/>
      </c>
      <c r="D74" s="17" t="str">
        <f aca="false">IF(NOT(L74),"",IF(M74&gt;=Setup!$C$12,"Bye",INDEX(Setup!$C$16:$C$31,M74+1)))</f>
        <v/>
      </c>
      <c r="E74" s="18"/>
      <c r="F74" s="18"/>
      <c r="G74" s="17" t="str">
        <f aca="false">IF(NOT(L74),"",IF(N74&gt;=Setup!$C$12,"Bye",INDEX(Setup!$C$16:$C$31,N74+1)))</f>
        <v/>
      </c>
      <c r="H74" s="17" t="str">
        <f aca="false">IF(OR(NOT(L74),O74,E74="",F74=""),"",IF(E74&gt;F74,D74,IF(F74&gt;E74,G74,"Tie")))</f>
        <v/>
      </c>
      <c r="J74" s="19" t="n">
        <f aca="false">IF(Setup!$C$13=0,"",INT(68/((Setup!$C$13+1)/2)))</f>
        <v>17</v>
      </c>
      <c r="K74" s="19" t="n">
        <f aca="false">IF(Setup!$C$13=0,"",MOD(68,(Setup!$C$13+1)/2))</f>
        <v>0</v>
      </c>
      <c r="L74" s="20" t="b">
        <f aca="false">AND(Setup!$C$13&gt;0,J74&lt;Setup!$C$13)</f>
        <v>0</v>
      </c>
      <c r="M74" s="0" t="str">
        <f aca="false">IF(NOT(L74),"",IF(K74=0,J74,MOD(J74+K74,Setup!$C$13)))</f>
        <v/>
      </c>
      <c r="N74" s="0" t="str">
        <f aca="false">IF(NOT(L74),"",IF(K74=0,Setup!$C$13,MOD(J74-K74+Setup!$C$13,Setup!$C$13)))</f>
        <v/>
      </c>
      <c r="O74" s="20" t="b">
        <f aca="false">AND(L74,OR(M74&gt;=Setup!$C$12,N74&gt;=Setup!$C$12))</f>
        <v>0</v>
      </c>
      <c r="P74" s="19" t="n">
        <f aca="false">IF(AND(L74,NOT(O74),E74&lt;&gt;"",F74&lt;&gt;""),1,0)</f>
        <v>0</v>
      </c>
      <c r="Q74" s="0" t="str">
        <f aca="false">IF(L74,D74&amp;"|"&amp;G74,"")</f>
        <v/>
      </c>
      <c r="R74" s="0" t="str">
        <f aca="false">IF(L74,G74&amp;"|"&amp;D74,"")</f>
        <v/>
      </c>
    </row>
    <row r="75" customFormat="false" ht="15" hidden="false" customHeight="false" outlineLevel="0" collapsed="false">
      <c r="B75" s="16" t="str">
        <f aca="false">IF(L75,J75+1,"")</f>
        <v/>
      </c>
      <c r="C75" s="16" t="str">
        <f aca="false">IF(NOT(L75),"",IF(O75,"Bye",IF(IF(MOD(Setup!$C$12,2)=1,K75,K75+1)&gt;Setup!$C$8,"Next free",IF(MOD(Setup!$C$12,2)=1,K75,K75+1))))</f>
        <v/>
      </c>
      <c r="D75" s="17" t="str">
        <f aca="false">IF(NOT(L75),"",IF(M75&gt;=Setup!$C$12,"Bye",INDEX(Setup!$C$16:$C$31,M75+1)))</f>
        <v/>
      </c>
      <c r="E75" s="18"/>
      <c r="F75" s="18"/>
      <c r="G75" s="17" t="str">
        <f aca="false">IF(NOT(L75),"",IF(N75&gt;=Setup!$C$12,"Bye",INDEX(Setup!$C$16:$C$31,N75+1)))</f>
        <v/>
      </c>
      <c r="H75" s="17" t="str">
        <f aca="false">IF(OR(NOT(L75),O75,E75="",F75=""),"",IF(E75&gt;F75,D75,IF(F75&gt;E75,G75,"Tie")))</f>
        <v/>
      </c>
      <c r="J75" s="19" t="n">
        <f aca="false">IF(Setup!$C$13=0,"",INT(69/((Setup!$C$13+1)/2)))</f>
        <v>17</v>
      </c>
      <c r="K75" s="19" t="n">
        <f aca="false">IF(Setup!$C$13=0,"",MOD(69,(Setup!$C$13+1)/2))</f>
        <v>1</v>
      </c>
      <c r="L75" s="20" t="b">
        <f aca="false">AND(Setup!$C$13&gt;0,J75&lt;Setup!$C$13)</f>
        <v>0</v>
      </c>
      <c r="M75" s="0" t="str">
        <f aca="false">IF(NOT(L75),"",IF(K75=0,J75,MOD(J75+K75,Setup!$C$13)))</f>
        <v/>
      </c>
      <c r="N75" s="0" t="str">
        <f aca="false">IF(NOT(L75),"",IF(K75=0,Setup!$C$13,MOD(J75-K75+Setup!$C$13,Setup!$C$13)))</f>
        <v/>
      </c>
      <c r="O75" s="20" t="b">
        <f aca="false">AND(L75,OR(M75&gt;=Setup!$C$12,N75&gt;=Setup!$C$12))</f>
        <v>0</v>
      </c>
      <c r="P75" s="19" t="n">
        <f aca="false">IF(AND(L75,NOT(O75),E75&lt;&gt;"",F75&lt;&gt;""),1,0)</f>
        <v>0</v>
      </c>
      <c r="Q75" s="0" t="str">
        <f aca="false">IF(L75,D75&amp;"|"&amp;G75,"")</f>
        <v/>
      </c>
      <c r="R75" s="0" t="str">
        <f aca="false">IF(L75,G75&amp;"|"&amp;D75,"")</f>
        <v/>
      </c>
    </row>
    <row r="76" customFormat="false" ht="15" hidden="false" customHeight="false" outlineLevel="0" collapsed="false">
      <c r="B76" s="16" t="str">
        <f aca="false">IF(L76,J76+1,"")</f>
        <v/>
      </c>
      <c r="C76" s="16" t="str">
        <f aca="false">IF(NOT(L76),"",IF(O76,"Bye",IF(IF(MOD(Setup!$C$12,2)=1,K76,K76+1)&gt;Setup!$C$8,"Next free",IF(MOD(Setup!$C$12,2)=1,K76,K76+1))))</f>
        <v/>
      </c>
      <c r="D76" s="17" t="str">
        <f aca="false">IF(NOT(L76),"",IF(M76&gt;=Setup!$C$12,"Bye",INDEX(Setup!$C$16:$C$31,M76+1)))</f>
        <v/>
      </c>
      <c r="E76" s="18"/>
      <c r="F76" s="18"/>
      <c r="G76" s="17" t="str">
        <f aca="false">IF(NOT(L76),"",IF(N76&gt;=Setup!$C$12,"Bye",INDEX(Setup!$C$16:$C$31,N76+1)))</f>
        <v/>
      </c>
      <c r="H76" s="17" t="str">
        <f aca="false">IF(OR(NOT(L76),O76,E76="",F76=""),"",IF(E76&gt;F76,D76,IF(F76&gt;E76,G76,"Tie")))</f>
        <v/>
      </c>
      <c r="J76" s="19" t="n">
        <f aca="false">IF(Setup!$C$13=0,"",INT(70/((Setup!$C$13+1)/2)))</f>
        <v>17</v>
      </c>
      <c r="K76" s="19" t="n">
        <f aca="false">IF(Setup!$C$13=0,"",MOD(70,(Setup!$C$13+1)/2))</f>
        <v>2</v>
      </c>
      <c r="L76" s="20" t="b">
        <f aca="false">AND(Setup!$C$13&gt;0,J76&lt;Setup!$C$13)</f>
        <v>0</v>
      </c>
      <c r="M76" s="0" t="str">
        <f aca="false">IF(NOT(L76),"",IF(K76=0,J76,MOD(J76+K76,Setup!$C$13)))</f>
        <v/>
      </c>
      <c r="N76" s="0" t="str">
        <f aca="false">IF(NOT(L76),"",IF(K76=0,Setup!$C$13,MOD(J76-K76+Setup!$C$13,Setup!$C$13)))</f>
        <v/>
      </c>
      <c r="O76" s="20" t="b">
        <f aca="false">AND(L76,OR(M76&gt;=Setup!$C$12,N76&gt;=Setup!$C$12))</f>
        <v>0</v>
      </c>
      <c r="P76" s="19" t="n">
        <f aca="false">IF(AND(L76,NOT(O76),E76&lt;&gt;"",F76&lt;&gt;""),1,0)</f>
        <v>0</v>
      </c>
      <c r="Q76" s="0" t="str">
        <f aca="false">IF(L76,D76&amp;"|"&amp;G76,"")</f>
        <v/>
      </c>
      <c r="R76" s="0" t="str">
        <f aca="false">IF(L76,G76&amp;"|"&amp;D76,"")</f>
        <v/>
      </c>
    </row>
    <row r="77" customFormat="false" ht="15" hidden="false" customHeight="false" outlineLevel="0" collapsed="false">
      <c r="B77" s="16" t="str">
        <f aca="false">IF(L77,J77+1,"")</f>
        <v/>
      </c>
      <c r="C77" s="16" t="str">
        <f aca="false">IF(NOT(L77),"",IF(O77,"Bye",IF(IF(MOD(Setup!$C$12,2)=1,K77,K77+1)&gt;Setup!$C$8,"Next free",IF(MOD(Setup!$C$12,2)=1,K77,K77+1))))</f>
        <v/>
      </c>
      <c r="D77" s="17" t="str">
        <f aca="false">IF(NOT(L77),"",IF(M77&gt;=Setup!$C$12,"Bye",INDEX(Setup!$C$16:$C$31,M77+1)))</f>
        <v/>
      </c>
      <c r="E77" s="18"/>
      <c r="F77" s="18"/>
      <c r="G77" s="17" t="str">
        <f aca="false">IF(NOT(L77),"",IF(N77&gt;=Setup!$C$12,"Bye",INDEX(Setup!$C$16:$C$31,N77+1)))</f>
        <v/>
      </c>
      <c r="H77" s="17" t="str">
        <f aca="false">IF(OR(NOT(L77),O77,E77="",F77=""),"",IF(E77&gt;F77,D77,IF(F77&gt;E77,G77,"Tie")))</f>
        <v/>
      </c>
      <c r="J77" s="19" t="n">
        <f aca="false">IF(Setup!$C$13=0,"",INT(71/((Setup!$C$13+1)/2)))</f>
        <v>17</v>
      </c>
      <c r="K77" s="19" t="n">
        <f aca="false">IF(Setup!$C$13=0,"",MOD(71,(Setup!$C$13+1)/2))</f>
        <v>3</v>
      </c>
      <c r="L77" s="20" t="b">
        <f aca="false">AND(Setup!$C$13&gt;0,J77&lt;Setup!$C$13)</f>
        <v>0</v>
      </c>
      <c r="M77" s="0" t="str">
        <f aca="false">IF(NOT(L77),"",IF(K77=0,J77,MOD(J77+K77,Setup!$C$13)))</f>
        <v/>
      </c>
      <c r="N77" s="0" t="str">
        <f aca="false">IF(NOT(L77),"",IF(K77=0,Setup!$C$13,MOD(J77-K77+Setup!$C$13,Setup!$C$13)))</f>
        <v/>
      </c>
      <c r="O77" s="20" t="b">
        <f aca="false">AND(L77,OR(M77&gt;=Setup!$C$12,N77&gt;=Setup!$C$12))</f>
        <v>0</v>
      </c>
      <c r="P77" s="19" t="n">
        <f aca="false">IF(AND(L77,NOT(O77),E77&lt;&gt;"",F77&lt;&gt;""),1,0)</f>
        <v>0</v>
      </c>
      <c r="Q77" s="0" t="str">
        <f aca="false">IF(L77,D77&amp;"|"&amp;G77,"")</f>
        <v/>
      </c>
      <c r="R77" s="0" t="str">
        <f aca="false">IF(L77,G77&amp;"|"&amp;D77,"")</f>
        <v/>
      </c>
    </row>
    <row r="78" customFormat="false" ht="15" hidden="false" customHeight="false" outlineLevel="0" collapsed="false">
      <c r="B78" s="16" t="str">
        <f aca="false">IF(L78,J78+1,"")</f>
        <v/>
      </c>
      <c r="C78" s="16" t="str">
        <f aca="false">IF(NOT(L78),"",IF(O78,"Bye",IF(IF(MOD(Setup!$C$12,2)=1,K78,K78+1)&gt;Setup!$C$8,"Next free",IF(MOD(Setup!$C$12,2)=1,K78,K78+1))))</f>
        <v/>
      </c>
      <c r="D78" s="17" t="str">
        <f aca="false">IF(NOT(L78),"",IF(M78&gt;=Setup!$C$12,"Bye",INDEX(Setup!$C$16:$C$31,M78+1)))</f>
        <v/>
      </c>
      <c r="E78" s="18"/>
      <c r="F78" s="18"/>
      <c r="G78" s="17" t="str">
        <f aca="false">IF(NOT(L78),"",IF(N78&gt;=Setup!$C$12,"Bye",INDEX(Setup!$C$16:$C$31,N78+1)))</f>
        <v/>
      </c>
      <c r="H78" s="17" t="str">
        <f aca="false">IF(OR(NOT(L78),O78,E78="",F78=""),"",IF(E78&gt;F78,D78,IF(F78&gt;E78,G78,"Tie")))</f>
        <v/>
      </c>
      <c r="J78" s="19" t="n">
        <f aca="false">IF(Setup!$C$13=0,"",INT(72/((Setup!$C$13+1)/2)))</f>
        <v>18</v>
      </c>
      <c r="K78" s="19" t="n">
        <f aca="false">IF(Setup!$C$13=0,"",MOD(72,(Setup!$C$13+1)/2))</f>
        <v>0</v>
      </c>
      <c r="L78" s="20" t="b">
        <f aca="false">AND(Setup!$C$13&gt;0,J78&lt;Setup!$C$13)</f>
        <v>0</v>
      </c>
      <c r="M78" s="0" t="str">
        <f aca="false">IF(NOT(L78),"",IF(K78=0,J78,MOD(J78+K78,Setup!$C$13)))</f>
        <v/>
      </c>
      <c r="N78" s="0" t="str">
        <f aca="false">IF(NOT(L78),"",IF(K78=0,Setup!$C$13,MOD(J78-K78+Setup!$C$13,Setup!$C$13)))</f>
        <v/>
      </c>
      <c r="O78" s="20" t="b">
        <f aca="false">AND(L78,OR(M78&gt;=Setup!$C$12,N78&gt;=Setup!$C$12))</f>
        <v>0</v>
      </c>
      <c r="P78" s="19" t="n">
        <f aca="false">IF(AND(L78,NOT(O78),E78&lt;&gt;"",F78&lt;&gt;""),1,0)</f>
        <v>0</v>
      </c>
      <c r="Q78" s="0" t="str">
        <f aca="false">IF(L78,D78&amp;"|"&amp;G78,"")</f>
        <v/>
      </c>
      <c r="R78" s="0" t="str">
        <f aca="false">IF(L78,G78&amp;"|"&amp;D78,"")</f>
        <v/>
      </c>
    </row>
    <row r="79" customFormat="false" ht="15" hidden="false" customHeight="false" outlineLevel="0" collapsed="false">
      <c r="B79" s="16" t="str">
        <f aca="false">IF(L79,J79+1,"")</f>
        <v/>
      </c>
      <c r="C79" s="16" t="str">
        <f aca="false">IF(NOT(L79),"",IF(O79,"Bye",IF(IF(MOD(Setup!$C$12,2)=1,K79,K79+1)&gt;Setup!$C$8,"Next free",IF(MOD(Setup!$C$12,2)=1,K79,K79+1))))</f>
        <v/>
      </c>
      <c r="D79" s="17" t="str">
        <f aca="false">IF(NOT(L79),"",IF(M79&gt;=Setup!$C$12,"Bye",INDEX(Setup!$C$16:$C$31,M79+1)))</f>
        <v/>
      </c>
      <c r="E79" s="18"/>
      <c r="F79" s="18"/>
      <c r="G79" s="17" t="str">
        <f aca="false">IF(NOT(L79),"",IF(N79&gt;=Setup!$C$12,"Bye",INDEX(Setup!$C$16:$C$31,N79+1)))</f>
        <v/>
      </c>
      <c r="H79" s="17" t="str">
        <f aca="false">IF(OR(NOT(L79),O79,E79="",F79=""),"",IF(E79&gt;F79,D79,IF(F79&gt;E79,G79,"Tie")))</f>
        <v/>
      </c>
      <c r="J79" s="19" t="n">
        <f aca="false">IF(Setup!$C$13=0,"",INT(73/((Setup!$C$13+1)/2)))</f>
        <v>18</v>
      </c>
      <c r="K79" s="19" t="n">
        <f aca="false">IF(Setup!$C$13=0,"",MOD(73,(Setup!$C$13+1)/2))</f>
        <v>1</v>
      </c>
      <c r="L79" s="20" t="b">
        <f aca="false">AND(Setup!$C$13&gt;0,J79&lt;Setup!$C$13)</f>
        <v>0</v>
      </c>
      <c r="M79" s="0" t="str">
        <f aca="false">IF(NOT(L79),"",IF(K79=0,J79,MOD(J79+K79,Setup!$C$13)))</f>
        <v/>
      </c>
      <c r="N79" s="0" t="str">
        <f aca="false">IF(NOT(L79),"",IF(K79=0,Setup!$C$13,MOD(J79-K79+Setup!$C$13,Setup!$C$13)))</f>
        <v/>
      </c>
      <c r="O79" s="20" t="b">
        <f aca="false">AND(L79,OR(M79&gt;=Setup!$C$12,N79&gt;=Setup!$C$12))</f>
        <v>0</v>
      </c>
      <c r="P79" s="19" t="n">
        <f aca="false">IF(AND(L79,NOT(O79),E79&lt;&gt;"",F79&lt;&gt;""),1,0)</f>
        <v>0</v>
      </c>
      <c r="Q79" s="0" t="str">
        <f aca="false">IF(L79,D79&amp;"|"&amp;G79,"")</f>
        <v/>
      </c>
      <c r="R79" s="0" t="str">
        <f aca="false">IF(L79,G79&amp;"|"&amp;D79,"")</f>
        <v/>
      </c>
    </row>
    <row r="80" customFormat="false" ht="15" hidden="false" customHeight="false" outlineLevel="0" collapsed="false">
      <c r="B80" s="16" t="str">
        <f aca="false">IF(L80,J80+1,"")</f>
        <v/>
      </c>
      <c r="C80" s="16" t="str">
        <f aca="false">IF(NOT(L80),"",IF(O80,"Bye",IF(IF(MOD(Setup!$C$12,2)=1,K80,K80+1)&gt;Setup!$C$8,"Next free",IF(MOD(Setup!$C$12,2)=1,K80,K80+1))))</f>
        <v/>
      </c>
      <c r="D80" s="17" t="str">
        <f aca="false">IF(NOT(L80),"",IF(M80&gt;=Setup!$C$12,"Bye",INDEX(Setup!$C$16:$C$31,M80+1)))</f>
        <v/>
      </c>
      <c r="E80" s="18"/>
      <c r="F80" s="18"/>
      <c r="G80" s="17" t="str">
        <f aca="false">IF(NOT(L80),"",IF(N80&gt;=Setup!$C$12,"Bye",INDEX(Setup!$C$16:$C$31,N80+1)))</f>
        <v/>
      </c>
      <c r="H80" s="17" t="str">
        <f aca="false">IF(OR(NOT(L80),O80,E80="",F80=""),"",IF(E80&gt;F80,D80,IF(F80&gt;E80,G80,"Tie")))</f>
        <v/>
      </c>
      <c r="J80" s="19" t="n">
        <f aca="false">IF(Setup!$C$13=0,"",INT(74/((Setup!$C$13+1)/2)))</f>
        <v>18</v>
      </c>
      <c r="K80" s="19" t="n">
        <f aca="false">IF(Setup!$C$13=0,"",MOD(74,(Setup!$C$13+1)/2))</f>
        <v>2</v>
      </c>
      <c r="L80" s="20" t="b">
        <f aca="false">AND(Setup!$C$13&gt;0,J80&lt;Setup!$C$13)</f>
        <v>0</v>
      </c>
      <c r="M80" s="0" t="str">
        <f aca="false">IF(NOT(L80),"",IF(K80=0,J80,MOD(J80+K80,Setup!$C$13)))</f>
        <v/>
      </c>
      <c r="N80" s="0" t="str">
        <f aca="false">IF(NOT(L80),"",IF(K80=0,Setup!$C$13,MOD(J80-K80+Setup!$C$13,Setup!$C$13)))</f>
        <v/>
      </c>
      <c r="O80" s="20" t="b">
        <f aca="false">AND(L80,OR(M80&gt;=Setup!$C$12,N80&gt;=Setup!$C$12))</f>
        <v>0</v>
      </c>
      <c r="P80" s="19" t="n">
        <f aca="false">IF(AND(L80,NOT(O80),E80&lt;&gt;"",F80&lt;&gt;""),1,0)</f>
        <v>0</v>
      </c>
      <c r="Q80" s="0" t="str">
        <f aca="false">IF(L80,D80&amp;"|"&amp;G80,"")</f>
        <v/>
      </c>
      <c r="R80" s="0" t="str">
        <f aca="false">IF(L80,G80&amp;"|"&amp;D80,"")</f>
        <v/>
      </c>
    </row>
    <row r="81" customFormat="false" ht="15" hidden="false" customHeight="false" outlineLevel="0" collapsed="false">
      <c r="B81" s="16" t="str">
        <f aca="false">IF(L81,J81+1,"")</f>
        <v/>
      </c>
      <c r="C81" s="16" t="str">
        <f aca="false">IF(NOT(L81),"",IF(O81,"Bye",IF(IF(MOD(Setup!$C$12,2)=1,K81,K81+1)&gt;Setup!$C$8,"Next free",IF(MOD(Setup!$C$12,2)=1,K81,K81+1))))</f>
        <v/>
      </c>
      <c r="D81" s="17" t="str">
        <f aca="false">IF(NOT(L81),"",IF(M81&gt;=Setup!$C$12,"Bye",INDEX(Setup!$C$16:$C$31,M81+1)))</f>
        <v/>
      </c>
      <c r="E81" s="18"/>
      <c r="F81" s="18"/>
      <c r="G81" s="17" t="str">
        <f aca="false">IF(NOT(L81),"",IF(N81&gt;=Setup!$C$12,"Bye",INDEX(Setup!$C$16:$C$31,N81+1)))</f>
        <v/>
      </c>
      <c r="H81" s="17" t="str">
        <f aca="false">IF(OR(NOT(L81),O81,E81="",F81=""),"",IF(E81&gt;F81,D81,IF(F81&gt;E81,G81,"Tie")))</f>
        <v/>
      </c>
      <c r="J81" s="19" t="n">
        <f aca="false">IF(Setup!$C$13=0,"",INT(75/((Setup!$C$13+1)/2)))</f>
        <v>18</v>
      </c>
      <c r="K81" s="19" t="n">
        <f aca="false">IF(Setup!$C$13=0,"",MOD(75,(Setup!$C$13+1)/2))</f>
        <v>3</v>
      </c>
      <c r="L81" s="20" t="b">
        <f aca="false">AND(Setup!$C$13&gt;0,J81&lt;Setup!$C$13)</f>
        <v>0</v>
      </c>
      <c r="M81" s="0" t="str">
        <f aca="false">IF(NOT(L81),"",IF(K81=0,J81,MOD(J81+K81,Setup!$C$13)))</f>
        <v/>
      </c>
      <c r="N81" s="0" t="str">
        <f aca="false">IF(NOT(L81),"",IF(K81=0,Setup!$C$13,MOD(J81-K81+Setup!$C$13,Setup!$C$13)))</f>
        <v/>
      </c>
      <c r="O81" s="20" t="b">
        <f aca="false">AND(L81,OR(M81&gt;=Setup!$C$12,N81&gt;=Setup!$C$12))</f>
        <v>0</v>
      </c>
      <c r="P81" s="19" t="n">
        <f aca="false">IF(AND(L81,NOT(O81),E81&lt;&gt;"",F81&lt;&gt;""),1,0)</f>
        <v>0</v>
      </c>
      <c r="Q81" s="0" t="str">
        <f aca="false">IF(L81,D81&amp;"|"&amp;G81,"")</f>
        <v/>
      </c>
      <c r="R81" s="0" t="str">
        <f aca="false">IF(L81,G81&amp;"|"&amp;D81,"")</f>
        <v/>
      </c>
    </row>
    <row r="82" customFormat="false" ht="15" hidden="false" customHeight="false" outlineLevel="0" collapsed="false">
      <c r="B82" s="16" t="str">
        <f aca="false">IF(L82,J82+1,"")</f>
        <v/>
      </c>
      <c r="C82" s="16" t="str">
        <f aca="false">IF(NOT(L82),"",IF(O82,"Bye",IF(IF(MOD(Setup!$C$12,2)=1,K82,K82+1)&gt;Setup!$C$8,"Next free",IF(MOD(Setup!$C$12,2)=1,K82,K82+1))))</f>
        <v/>
      </c>
      <c r="D82" s="17" t="str">
        <f aca="false">IF(NOT(L82),"",IF(M82&gt;=Setup!$C$12,"Bye",INDEX(Setup!$C$16:$C$31,M82+1)))</f>
        <v/>
      </c>
      <c r="E82" s="18"/>
      <c r="F82" s="18"/>
      <c r="G82" s="17" t="str">
        <f aca="false">IF(NOT(L82),"",IF(N82&gt;=Setup!$C$12,"Bye",INDEX(Setup!$C$16:$C$31,N82+1)))</f>
        <v/>
      </c>
      <c r="H82" s="17" t="str">
        <f aca="false">IF(OR(NOT(L82),O82,E82="",F82=""),"",IF(E82&gt;F82,D82,IF(F82&gt;E82,G82,"Tie")))</f>
        <v/>
      </c>
      <c r="J82" s="19" t="n">
        <f aca="false">IF(Setup!$C$13=0,"",INT(76/((Setup!$C$13+1)/2)))</f>
        <v>19</v>
      </c>
      <c r="K82" s="19" t="n">
        <f aca="false">IF(Setup!$C$13=0,"",MOD(76,(Setup!$C$13+1)/2))</f>
        <v>0</v>
      </c>
      <c r="L82" s="20" t="b">
        <f aca="false">AND(Setup!$C$13&gt;0,J82&lt;Setup!$C$13)</f>
        <v>0</v>
      </c>
      <c r="M82" s="0" t="str">
        <f aca="false">IF(NOT(L82),"",IF(K82=0,J82,MOD(J82+K82,Setup!$C$13)))</f>
        <v/>
      </c>
      <c r="N82" s="0" t="str">
        <f aca="false">IF(NOT(L82),"",IF(K82=0,Setup!$C$13,MOD(J82-K82+Setup!$C$13,Setup!$C$13)))</f>
        <v/>
      </c>
      <c r="O82" s="20" t="b">
        <f aca="false">AND(L82,OR(M82&gt;=Setup!$C$12,N82&gt;=Setup!$C$12))</f>
        <v>0</v>
      </c>
      <c r="P82" s="19" t="n">
        <f aca="false">IF(AND(L82,NOT(O82),E82&lt;&gt;"",F82&lt;&gt;""),1,0)</f>
        <v>0</v>
      </c>
      <c r="Q82" s="0" t="str">
        <f aca="false">IF(L82,D82&amp;"|"&amp;G82,"")</f>
        <v/>
      </c>
      <c r="R82" s="0" t="str">
        <f aca="false">IF(L82,G82&amp;"|"&amp;D82,"")</f>
        <v/>
      </c>
    </row>
    <row r="83" customFormat="false" ht="15" hidden="false" customHeight="false" outlineLevel="0" collapsed="false">
      <c r="B83" s="16" t="str">
        <f aca="false">IF(L83,J83+1,"")</f>
        <v/>
      </c>
      <c r="C83" s="16" t="str">
        <f aca="false">IF(NOT(L83),"",IF(O83,"Bye",IF(IF(MOD(Setup!$C$12,2)=1,K83,K83+1)&gt;Setup!$C$8,"Next free",IF(MOD(Setup!$C$12,2)=1,K83,K83+1))))</f>
        <v/>
      </c>
      <c r="D83" s="17" t="str">
        <f aca="false">IF(NOT(L83),"",IF(M83&gt;=Setup!$C$12,"Bye",INDEX(Setup!$C$16:$C$31,M83+1)))</f>
        <v/>
      </c>
      <c r="E83" s="18"/>
      <c r="F83" s="18"/>
      <c r="G83" s="17" t="str">
        <f aca="false">IF(NOT(L83),"",IF(N83&gt;=Setup!$C$12,"Bye",INDEX(Setup!$C$16:$C$31,N83+1)))</f>
        <v/>
      </c>
      <c r="H83" s="17" t="str">
        <f aca="false">IF(OR(NOT(L83),O83,E83="",F83=""),"",IF(E83&gt;F83,D83,IF(F83&gt;E83,G83,"Tie")))</f>
        <v/>
      </c>
      <c r="J83" s="19" t="n">
        <f aca="false">IF(Setup!$C$13=0,"",INT(77/((Setup!$C$13+1)/2)))</f>
        <v>19</v>
      </c>
      <c r="K83" s="19" t="n">
        <f aca="false">IF(Setup!$C$13=0,"",MOD(77,(Setup!$C$13+1)/2))</f>
        <v>1</v>
      </c>
      <c r="L83" s="20" t="b">
        <f aca="false">AND(Setup!$C$13&gt;0,J83&lt;Setup!$C$13)</f>
        <v>0</v>
      </c>
      <c r="M83" s="0" t="str">
        <f aca="false">IF(NOT(L83),"",IF(K83=0,J83,MOD(J83+K83,Setup!$C$13)))</f>
        <v/>
      </c>
      <c r="N83" s="0" t="str">
        <f aca="false">IF(NOT(L83),"",IF(K83=0,Setup!$C$13,MOD(J83-K83+Setup!$C$13,Setup!$C$13)))</f>
        <v/>
      </c>
      <c r="O83" s="20" t="b">
        <f aca="false">AND(L83,OR(M83&gt;=Setup!$C$12,N83&gt;=Setup!$C$12))</f>
        <v>0</v>
      </c>
      <c r="P83" s="19" t="n">
        <f aca="false">IF(AND(L83,NOT(O83),E83&lt;&gt;"",F83&lt;&gt;""),1,0)</f>
        <v>0</v>
      </c>
      <c r="Q83" s="0" t="str">
        <f aca="false">IF(L83,D83&amp;"|"&amp;G83,"")</f>
        <v/>
      </c>
      <c r="R83" s="0" t="str">
        <f aca="false">IF(L83,G83&amp;"|"&amp;D83,"")</f>
        <v/>
      </c>
    </row>
    <row r="84" customFormat="false" ht="15" hidden="false" customHeight="false" outlineLevel="0" collapsed="false">
      <c r="B84" s="16" t="str">
        <f aca="false">IF(L84,J84+1,"")</f>
        <v/>
      </c>
      <c r="C84" s="16" t="str">
        <f aca="false">IF(NOT(L84),"",IF(O84,"Bye",IF(IF(MOD(Setup!$C$12,2)=1,K84,K84+1)&gt;Setup!$C$8,"Next free",IF(MOD(Setup!$C$12,2)=1,K84,K84+1))))</f>
        <v/>
      </c>
      <c r="D84" s="17" t="str">
        <f aca="false">IF(NOT(L84),"",IF(M84&gt;=Setup!$C$12,"Bye",INDEX(Setup!$C$16:$C$31,M84+1)))</f>
        <v/>
      </c>
      <c r="E84" s="18"/>
      <c r="F84" s="18"/>
      <c r="G84" s="17" t="str">
        <f aca="false">IF(NOT(L84),"",IF(N84&gt;=Setup!$C$12,"Bye",INDEX(Setup!$C$16:$C$31,N84+1)))</f>
        <v/>
      </c>
      <c r="H84" s="17" t="str">
        <f aca="false">IF(OR(NOT(L84),O84,E84="",F84=""),"",IF(E84&gt;F84,D84,IF(F84&gt;E84,G84,"Tie")))</f>
        <v/>
      </c>
      <c r="J84" s="19" t="n">
        <f aca="false">IF(Setup!$C$13=0,"",INT(78/((Setup!$C$13+1)/2)))</f>
        <v>19</v>
      </c>
      <c r="K84" s="19" t="n">
        <f aca="false">IF(Setup!$C$13=0,"",MOD(78,(Setup!$C$13+1)/2))</f>
        <v>2</v>
      </c>
      <c r="L84" s="20" t="b">
        <f aca="false">AND(Setup!$C$13&gt;0,J84&lt;Setup!$C$13)</f>
        <v>0</v>
      </c>
      <c r="M84" s="0" t="str">
        <f aca="false">IF(NOT(L84),"",IF(K84=0,J84,MOD(J84+K84,Setup!$C$13)))</f>
        <v/>
      </c>
      <c r="N84" s="0" t="str">
        <f aca="false">IF(NOT(L84),"",IF(K84=0,Setup!$C$13,MOD(J84-K84+Setup!$C$13,Setup!$C$13)))</f>
        <v/>
      </c>
      <c r="O84" s="20" t="b">
        <f aca="false">AND(L84,OR(M84&gt;=Setup!$C$12,N84&gt;=Setup!$C$12))</f>
        <v>0</v>
      </c>
      <c r="P84" s="19" t="n">
        <f aca="false">IF(AND(L84,NOT(O84),E84&lt;&gt;"",F84&lt;&gt;""),1,0)</f>
        <v>0</v>
      </c>
      <c r="Q84" s="0" t="str">
        <f aca="false">IF(L84,D84&amp;"|"&amp;G84,"")</f>
        <v/>
      </c>
      <c r="R84" s="0" t="str">
        <f aca="false">IF(L84,G84&amp;"|"&amp;D84,"")</f>
        <v/>
      </c>
    </row>
    <row r="85" customFormat="false" ht="15" hidden="false" customHeight="false" outlineLevel="0" collapsed="false">
      <c r="B85" s="16" t="str">
        <f aca="false">IF(L85,J85+1,"")</f>
        <v/>
      </c>
      <c r="C85" s="16" t="str">
        <f aca="false">IF(NOT(L85),"",IF(O85,"Bye",IF(IF(MOD(Setup!$C$12,2)=1,K85,K85+1)&gt;Setup!$C$8,"Next free",IF(MOD(Setup!$C$12,2)=1,K85,K85+1))))</f>
        <v/>
      </c>
      <c r="D85" s="17" t="str">
        <f aca="false">IF(NOT(L85),"",IF(M85&gt;=Setup!$C$12,"Bye",INDEX(Setup!$C$16:$C$31,M85+1)))</f>
        <v/>
      </c>
      <c r="E85" s="18"/>
      <c r="F85" s="18"/>
      <c r="G85" s="17" t="str">
        <f aca="false">IF(NOT(L85),"",IF(N85&gt;=Setup!$C$12,"Bye",INDEX(Setup!$C$16:$C$31,N85+1)))</f>
        <v/>
      </c>
      <c r="H85" s="17" t="str">
        <f aca="false">IF(OR(NOT(L85),O85,E85="",F85=""),"",IF(E85&gt;F85,D85,IF(F85&gt;E85,G85,"Tie")))</f>
        <v/>
      </c>
      <c r="J85" s="19" t="n">
        <f aca="false">IF(Setup!$C$13=0,"",INT(79/((Setup!$C$13+1)/2)))</f>
        <v>19</v>
      </c>
      <c r="K85" s="19" t="n">
        <f aca="false">IF(Setup!$C$13=0,"",MOD(79,(Setup!$C$13+1)/2))</f>
        <v>3</v>
      </c>
      <c r="L85" s="20" t="b">
        <f aca="false">AND(Setup!$C$13&gt;0,J85&lt;Setup!$C$13)</f>
        <v>0</v>
      </c>
      <c r="M85" s="0" t="str">
        <f aca="false">IF(NOT(L85),"",IF(K85=0,J85,MOD(J85+K85,Setup!$C$13)))</f>
        <v/>
      </c>
      <c r="N85" s="0" t="str">
        <f aca="false">IF(NOT(L85),"",IF(K85=0,Setup!$C$13,MOD(J85-K85+Setup!$C$13,Setup!$C$13)))</f>
        <v/>
      </c>
      <c r="O85" s="20" t="b">
        <f aca="false">AND(L85,OR(M85&gt;=Setup!$C$12,N85&gt;=Setup!$C$12))</f>
        <v>0</v>
      </c>
      <c r="P85" s="19" t="n">
        <f aca="false">IF(AND(L85,NOT(O85),E85&lt;&gt;"",F85&lt;&gt;""),1,0)</f>
        <v>0</v>
      </c>
      <c r="Q85" s="0" t="str">
        <f aca="false">IF(L85,D85&amp;"|"&amp;G85,"")</f>
        <v/>
      </c>
      <c r="R85" s="0" t="str">
        <f aca="false">IF(L85,G85&amp;"|"&amp;D85,"")</f>
        <v/>
      </c>
    </row>
    <row r="86" customFormat="false" ht="15" hidden="false" customHeight="false" outlineLevel="0" collapsed="false">
      <c r="B86" s="16" t="str">
        <f aca="false">IF(L86,J86+1,"")</f>
        <v/>
      </c>
      <c r="C86" s="16" t="str">
        <f aca="false">IF(NOT(L86),"",IF(O86,"Bye",IF(IF(MOD(Setup!$C$12,2)=1,K86,K86+1)&gt;Setup!$C$8,"Next free",IF(MOD(Setup!$C$12,2)=1,K86,K86+1))))</f>
        <v/>
      </c>
      <c r="D86" s="17" t="str">
        <f aca="false">IF(NOT(L86),"",IF(M86&gt;=Setup!$C$12,"Bye",INDEX(Setup!$C$16:$C$31,M86+1)))</f>
        <v/>
      </c>
      <c r="E86" s="18"/>
      <c r="F86" s="18"/>
      <c r="G86" s="17" t="str">
        <f aca="false">IF(NOT(L86),"",IF(N86&gt;=Setup!$C$12,"Bye",INDEX(Setup!$C$16:$C$31,N86+1)))</f>
        <v/>
      </c>
      <c r="H86" s="17" t="str">
        <f aca="false">IF(OR(NOT(L86),O86,E86="",F86=""),"",IF(E86&gt;F86,D86,IF(F86&gt;E86,G86,"Tie")))</f>
        <v/>
      </c>
      <c r="J86" s="19" t="n">
        <f aca="false">IF(Setup!$C$13=0,"",INT(80/((Setup!$C$13+1)/2)))</f>
        <v>20</v>
      </c>
      <c r="K86" s="19" t="n">
        <f aca="false">IF(Setup!$C$13=0,"",MOD(80,(Setup!$C$13+1)/2))</f>
        <v>0</v>
      </c>
      <c r="L86" s="20" t="b">
        <f aca="false">AND(Setup!$C$13&gt;0,J86&lt;Setup!$C$13)</f>
        <v>0</v>
      </c>
      <c r="M86" s="0" t="str">
        <f aca="false">IF(NOT(L86),"",IF(K86=0,J86,MOD(J86+K86,Setup!$C$13)))</f>
        <v/>
      </c>
      <c r="N86" s="0" t="str">
        <f aca="false">IF(NOT(L86),"",IF(K86=0,Setup!$C$13,MOD(J86-K86+Setup!$C$13,Setup!$C$13)))</f>
        <v/>
      </c>
      <c r="O86" s="20" t="b">
        <f aca="false">AND(L86,OR(M86&gt;=Setup!$C$12,N86&gt;=Setup!$C$12))</f>
        <v>0</v>
      </c>
      <c r="P86" s="19" t="n">
        <f aca="false">IF(AND(L86,NOT(O86),E86&lt;&gt;"",F86&lt;&gt;""),1,0)</f>
        <v>0</v>
      </c>
      <c r="Q86" s="0" t="str">
        <f aca="false">IF(L86,D86&amp;"|"&amp;G86,"")</f>
        <v/>
      </c>
      <c r="R86" s="0" t="str">
        <f aca="false">IF(L86,G86&amp;"|"&amp;D86,"")</f>
        <v/>
      </c>
    </row>
    <row r="87" customFormat="false" ht="15" hidden="false" customHeight="false" outlineLevel="0" collapsed="false">
      <c r="B87" s="16" t="str">
        <f aca="false">IF(L87,J87+1,"")</f>
        <v/>
      </c>
      <c r="C87" s="16" t="str">
        <f aca="false">IF(NOT(L87),"",IF(O87,"Bye",IF(IF(MOD(Setup!$C$12,2)=1,K87,K87+1)&gt;Setup!$C$8,"Next free",IF(MOD(Setup!$C$12,2)=1,K87,K87+1))))</f>
        <v/>
      </c>
      <c r="D87" s="17" t="str">
        <f aca="false">IF(NOT(L87),"",IF(M87&gt;=Setup!$C$12,"Bye",INDEX(Setup!$C$16:$C$31,M87+1)))</f>
        <v/>
      </c>
      <c r="E87" s="18"/>
      <c r="F87" s="18"/>
      <c r="G87" s="17" t="str">
        <f aca="false">IF(NOT(L87),"",IF(N87&gt;=Setup!$C$12,"Bye",INDEX(Setup!$C$16:$C$31,N87+1)))</f>
        <v/>
      </c>
      <c r="H87" s="17" t="str">
        <f aca="false">IF(OR(NOT(L87),O87,E87="",F87=""),"",IF(E87&gt;F87,D87,IF(F87&gt;E87,G87,"Tie")))</f>
        <v/>
      </c>
      <c r="J87" s="19" t="n">
        <f aca="false">IF(Setup!$C$13=0,"",INT(81/((Setup!$C$13+1)/2)))</f>
        <v>20</v>
      </c>
      <c r="K87" s="19" t="n">
        <f aca="false">IF(Setup!$C$13=0,"",MOD(81,(Setup!$C$13+1)/2))</f>
        <v>1</v>
      </c>
      <c r="L87" s="20" t="b">
        <f aca="false">AND(Setup!$C$13&gt;0,J87&lt;Setup!$C$13)</f>
        <v>0</v>
      </c>
      <c r="M87" s="0" t="str">
        <f aca="false">IF(NOT(L87),"",IF(K87=0,J87,MOD(J87+K87,Setup!$C$13)))</f>
        <v/>
      </c>
      <c r="N87" s="0" t="str">
        <f aca="false">IF(NOT(L87),"",IF(K87=0,Setup!$C$13,MOD(J87-K87+Setup!$C$13,Setup!$C$13)))</f>
        <v/>
      </c>
      <c r="O87" s="20" t="b">
        <f aca="false">AND(L87,OR(M87&gt;=Setup!$C$12,N87&gt;=Setup!$C$12))</f>
        <v>0</v>
      </c>
      <c r="P87" s="19" t="n">
        <f aca="false">IF(AND(L87,NOT(O87),E87&lt;&gt;"",F87&lt;&gt;""),1,0)</f>
        <v>0</v>
      </c>
      <c r="Q87" s="0" t="str">
        <f aca="false">IF(L87,D87&amp;"|"&amp;G87,"")</f>
        <v/>
      </c>
      <c r="R87" s="0" t="str">
        <f aca="false">IF(L87,G87&amp;"|"&amp;D87,"")</f>
        <v/>
      </c>
    </row>
    <row r="88" customFormat="false" ht="15" hidden="false" customHeight="false" outlineLevel="0" collapsed="false">
      <c r="B88" s="16" t="str">
        <f aca="false">IF(L88,J88+1,"")</f>
        <v/>
      </c>
      <c r="C88" s="16" t="str">
        <f aca="false">IF(NOT(L88),"",IF(O88,"Bye",IF(IF(MOD(Setup!$C$12,2)=1,K88,K88+1)&gt;Setup!$C$8,"Next free",IF(MOD(Setup!$C$12,2)=1,K88,K88+1))))</f>
        <v/>
      </c>
      <c r="D88" s="17" t="str">
        <f aca="false">IF(NOT(L88),"",IF(M88&gt;=Setup!$C$12,"Bye",INDEX(Setup!$C$16:$C$31,M88+1)))</f>
        <v/>
      </c>
      <c r="E88" s="18"/>
      <c r="F88" s="18"/>
      <c r="G88" s="17" t="str">
        <f aca="false">IF(NOT(L88),"",IF(N88&gt;=Setup!$C$12,"Bye",INDEX(Setup!$C$16:$C$31,N88+1)))</f>
        <v/>
      </c>
      <c r="H88" s="17" t="str">
        <f aca="false">IF(OR(NOT(L88),O88,E88="",F88=""),"",IF(E88&gt;F88,D88,IF(F88&gt;E88,G88,"Tie")))</f>
        <v/>
      </c>
      <c r="J88" s="19" t="n">
        <f aca="false">IF(Setup!$C$13=0,"",INT(82/((Setup!$C$13+1)/2)))</f>
        <v>20</v>
      </c>
      <c r="K88" s="19" t="n">
        <f aca="false">IF(Setup!$C$13=0,"",MOD(82,(Setup!$C$13+1)/2))</f>
        <v>2</v>
      </c>
      <c r="L88" s="20" t="b">
        <f aca="false">AND(Setup!$C$13&gt;0,J88&lt;Setup!$C$13)</f>
        <v>0</v>
      </c>
      <c r="M88" s="0" t="str">
        <f aca="false">IF(NOT(L88),"",IF(K88=0,J88,MOD(J88+K88,Setup!$C$13)))</f>
        <v/>
      </c>
      <c r="N88" s="0" t="str">
        <f aca="false">IF(NOT(L88),"",IF(K88=0,Setup!$C$13,MOD(J88-K88+Setup!$C$13,Setup!$C$13)))</f>
        <v/>
      </c>
      <c r="O88" s="20" t="b">
        <f aca="false">AND(L88,OR(M88&gt;=Setup!$C$12,N88&gt;=Setup!$C$12))</f>
        <v>0</v>
      </c>
      <c r="P88" s="19" t="n">
        <f aca="false">IF(AND(L88,NOT(O88),E88&lt;&gt;"",F88&lt;&gt;""),1,0)</f>
        <v>0</v>
      </c>
      <c r="Q88" s="0" t="str">
        <f aca="false">IF(L88,D88&amp;"|"&amp;G88,"")</f>
        <v/>
      </c>
      <c r="R88" s="0" t="str">
        <f aca="false">IF(L88,G88&amp;"|"&amp;D88,"")</f>
        <v/>
      </c>
    </row>
    <row r="89" customFormat="false" ht="15" hidden="false" customHeight="false" outlineLevel="0" collapsed="false">
      <c r="B89" s="16" t="str">
        <f aca="false">IF(L89,J89+1,"")</f>
        <v/>
      </c>
      <c r="C89" s="16" t="str">
        <f aca="false">IF(NOT(L89),"",IF(O89,"Bye",IF(IF(MOD(Setup!$C$12,2)=1,K89,K89+1)&gt;Setup!$C$8,"Next free",IF(MOD(Setup!$C$12,2)=1,K89,K89+1))))</f>
        <v/>
      </c>
      <c r="D89" s="17" t="str">
        <f aca="false">IF(NOT(L89),"",IF(M89&gt;=Setup!$C$12,"Bye",INDEX(Setup!$C$16:$C$31,M89+1)))</f>
        <v/>
      </c>
      <c r="E89" s="18"/>
      <c r="F89" s="18"/>
      <c r="G89" s="17" t="str">
        <f aca="false">IF(NOT(L89),"",IF(N89&gt;=Setup!$C$12,"Bye",INDEX(Setup!$C$16:$C$31,N89+1)))</f>
        <v/>
      </c>
      <c r="H89" s="17" t="str">
        <f aca="false">IF(OR(NOT(L89),O89,E89="",F89=""),"",IF(E89&gt;F89,D89,IF(F89&gt;E89,G89,"Tie")))</f>
        <v/>
      </c>
      <c r="J89" s="19" t="n">
        <f aca="false">IF(Setup!$C$13=0,"",INT(83/((Setup!$C$13+1)/2)))</f>
        <v>20</v>
      </c>
      <c r="K89" s="19" t="n">
        <f aca="false">IF(Setup!$C$13=0,"",MOD(83,(Setup!$C$13+1)/2))</f>
        <v>3</v>
      </c>
      <c r="L89" s="20" t="b">
        <f aca="false">AND(Setup!$C$13&gt;0,J89&lt;Setup!$C$13)</f>
        <v>0</v>
      </c>
      <c r="M89" s="0" t="str">
        <f aca="false">IF(NOT(L89),"",IF(K89=0,J89,MOD(J89+K89,Setup!$C$13)))</f>
        <v/>
      </c>
      <c r="N89" s="0" t="str">
        <f aca="false">IF(NOT(L89),"",IF(K89=0,Setup!$C$13,MOD(J89-K89+Setup!$C$13,Setup!$C$13)))</f>
        <v/>
      </c>
      <c r="O89" s="20" t="b">
        <f aca="false">AND(L89,OR(M89&gt;=Setup!$C$12,N89&gt;=Setup!$C$12))</f>
        <v>0</v>
      </c>
      <c r="P89" s="19" t="n">
        <f aca="false">IF(AND(L89,NOT(O89),E89&lt;&gt;"",F89&lt;&gt;""),1,0)</f>
        <v>0</v>
      </c>
      <c r="Q89" s="0" t="str">
        <f aca="false">IF(L89,D89&amp;"|"&amp;G89,"")</f>
        <v/>
      </c>
      <c r="R89" s="0" t="str">
        <f aca="false">IF(L89,G89&amp;"|"&amp;D89,"")</f>
        <v/>
      </c>
    </row>
    <row r="90" customFormat="false" ht="15" hidden="false" customHeight="false" outlineLevel="0" collapsed="false">
      <c r="B90" s="16" t="str">
        <f aca="false">IF(L90,J90+1,"")</f>
        <v/>
      </c>
      <c r="C90" s="16" t="str">
        <f aca="false">IF(NOT(L90),"",IF(O90,"Bye",IF(IF(MOD(Setup!$C$12,2)=1,K90,K90+1)&gt;Setup!$C$8,"Next free",IF(MOD(Setup!$C$12,2)=1,K90,K90+1))))</f>
        <v/>
      </c>
      <c r="D90" s="17" t="str">
        <f aca="false">IF(NOT(L90),"",IF(M90&gt;=Setup!$C$12,"Bye",INDEX(Setup!$C$16:$C$31,M90+1)))</f>
        <v/>
      </c>
      <c r="E90" s="18"/>
      <c r="F90" s="18"/>
      <c r="G90" s="17" t="str">
        <f aca="false">IF(NOT(L90),"",IF(N90&gt;=Setup!$C$12,"Bye",INDEX(Setup!$C$16:$C$31,N90+1)))</f>
        <v/>
      </c>
      <c r="H90" s="17" t="str">
        <f aca="false">IF(OR(NOT(L90),O90,E90="",F90=""),"",IF(E90&gt;F90,D90,IF(F90&gt;E90,G90,"Tie")))</f>
        <v/>
      </c>
      <c r="J90" s="19" t="n">
        <f aca="false">IF(Setup!$C$13=0,"",INT(84/((Setup!$C$13+1)/2)))</f>
        <v>21</v>
      </c>
      <c r="K90" s="19" t="n">
        <f aca="false">IF(Setup!$C$13=0,"",MOD(84,(Setup!$C$13+1)/2))</f>
        <v>0</v>
      </c>
      <c r="L90" s="20" t="b">
        <f aca="false">AND(Setup!$C$13&gt;0,J90&lt;Setup!$C$13)</f>
        <v>0</v>
      </c>
      <c r="M90" s="0" t="str">
        <f aca="false">IF(NOT(L90),"",IF(K90=0,J90,MOD(J90+K90,Setup!$C$13)))</f>
        <v/>
      </c>
      <c r="N90" s="0" t="str">
        <f aca="false">IF(NOT(L90),"",IF(K90=0,Setup!$C$13,MOD(J90-K90+Setup!$C$13,Setup!$C$13)))</f>
        <v/>
      </c>
      <c r="O90" s="20" t="b">
        <f aca="false">AND(L90,OR(M90&gt;=Setup!$C$12,N90&gt;=Setup!$C$12))</f>
        <v>0</v>
      </c>
      <c r="P90" s="19" t="n">
        <f aca="false">IF(AND(L90,NOT(O90),E90&lt;&gt;"",F90&lt;&gt;""),1,0)</f>
        <v>0</v>
      </c>
      <c r="Q90" s="0" t="str">
        <f aca="false">IF(L90,D90&amp;"|"&amp;G90,"")</f>
        <v/>
      </c>
      <c r="R90" s="0" t="str">
        <f aca="false">IF(L90,G90&amp;"|"&amp;D90,"")</f>
        <v/>
      </c>
    </row>
    <row r="91" customFormat="false" ht="15" hidden="false" customHeight="false" outlineLevel="0" collapsed="false">
      <c r="B91" s="16" t="str">
        <f aca="false">IF(L91,J91+1,"")</f>
        <v/>
      </c>
      <c r="C91" s="16" t="str">
        <f aca="false">IF(NOT(L91),"",IF(O91,"Bye",IF(IF(MOD(Setup!$C$12,2)=1,K91,K91+1)&gt;Setup!$C$8,"Next free",IF(MOD(Setup!$C$12,2)=1,K91,K91+1))))</f>
        <v/>
      </c>
      <c r="D91" s="17" t="str">
        <f aca="false">IF(NOT(L91),"",IF(M91&gt;=Setup!$C$12,"Bye",INDEX(Setup!$C$16:$C$31,M91+1)))</f>
        <v/>
      </c>
      <c r="E91" s="18"/>
      <c r="F91" s="18"/>
      <c r="G91" s="17" t="str">
        <f aca="false">IF(NOT(L91),"",IF(N91&gt;=Setup!$C$12,"Bye",INDEX(Setup!$C$16:$C$31,N91+1)))</f>
        <v/>
      </c>
      <c r="H91" s="17" t="str">
        <f aca="false">IF(OR(NOT(L91),O91,E91="",F91=""),"",IF(E91&gt;F91,D91,IF(F91&gt;E91,G91,"Tie")))</f>
        <v/>
      </c>
      <c r="J91" s="19" t="n">
        <f aca="false">IF(Setup!$C$13=0,"",INT(85/((Setup!$C$13+1)/2)))</f>
        <v>21</v>
      </c>
      <c r="K91" s="19" t="n">
        <f aca="false">IF(Setup!$C$13=0,"",MOD(85,(Setup!$C$13+1)/2))</f>
        <v>1</v>
      </c>
      <c r="L91" s="20" t="b">
        <f aca="false">AND(Setup!$C$13&gt;0,J91&lt;Setup!$C$13)</f>
        <v>0</v>
      </c>
      <c r="M91" s="0" t="str">
        <f aca="false">IF(NOT(L91),"",IF(K91=0,J91,MOD(J91+K91,Setup!$C$13)))</f>
        <v/>
      </c>
      <c r="N91" s="0" t="str">
        <f aca="false">IF(NOT(L91),"",IF(K91=0,Setup!$C$13,MOD(J91-K91+Setup!$C$13,Setup!$C$13)))</f>
        <v/>
      </c>
      <c r="O91" s="20" t="b">
        <f aca="false">AND(L91,OR(M91&gt;=Setup!$C$12,N91&gt;=Setup!$C$12))</f>
        <v>0</v>
      </c>
      <c r="P91" s="19" t="n">
        <f aca="false">IF(AND(L91,NOT(O91),E91&lt;&gt;"",F91&lt;&gt;""),1,0)</f>
        <v>0</v>
      </c>
      <c r="Q91" s="0" t="str">
        <f aca="false">IF(L91,D91&amp;"|"&amp;G91,"")</f>
        <v/>
      </c>
      <c r="R91" s="0" t="str">
        <f aca="false">IF(L91,G91&amp;"|"&amp;D91,"")</f>
        <v/>
      </c>
    </row>
    <row r="92" customFormat="false" ht="15" hidden="false" customHeight="false" outlineLevel="0" collapsed="false">
      <c r="B92" s="16" t="str">
        <f aca="false">IF(L92,J92+1,"")</f>
        <v/>
      </c>
      <c r="C92" s="16" t="str">
        <f aca="false">IF(NOT(L92),"",IF(O92,"Bye",IF(IF(MOD(Setup!$C$12,2)=1,K92,K92+1)&gt;Setup!$C$8,"Next free",IF(MOD(Setup!$C$12,2)=1,K92,K92+1))))</f>
        <v/>
      </c>
      <c r="D92" s="17" t="str">
        <f aca="false">IF(NOT(L92),"",IF(M92&gt;=Setup!$C$12,"Bye",INDEX(Setup!$C$16:$C$31,M92+1)))</f>
        <v/>
      </c>
      <c r="E92" s="18"/>
      <c r="F92" s="18"/>
      <c r="G92" s="17" t="str">
        <f aca="false">IF(NOT(L92),"",IF(N92&gt;=Setup!$C$12,"Bye",INDEX(Setup!$C$16:$C$31,N92+1)))</f>
        <v/>
      </c>
      <c r="H92" s="17" t="str">
        <f aca="false">IF(OR(NOT(L92),O92,E92="",F92=""),"",IF(E92&gt;F92,D92,IF(F92&gt;E92,G92,"Tie")))</f>
        <v/>
      </c>
      <c r="J92" s="19" t="n">
        <f aca="false">IF(Setup!$C$13=0,"",INT(86/((Setup!$C$13+1)/2)))</f>
        <v>21</v>
      </c>
      <c r="K92" s="19" t="n">
        <f aca="false">IF(Setup!$C$13=0,"",MOD(86,(Setup!$C$13+1)/2))</f>
        <v>2</v>
      </c>
      <c r="L92" s="20" t="b">
        <f aca="false">AND(Setup!$C$13&gt;0,J92&lt;Setup!$C$13)</f>
        <v>0</v>
      </c>
      <c r="M92" s="0" t="str">
        <f aca="false">IF(NOT(L92),"",IF(K92=0,J92,MOD(J92+K92,Setup!$C$13)))</f>
        <v/>
      </c>
      <c r="N92" s="0" t="str">
        <f aca="false">IF(NOT(L92),"",IF(K92=0,Setup!$C$13,MOD(J92-K92+Setup!$C$13,Setup!$C$13)))</f>
        <v/>
      </c>
      <c r="O92" s="20" t="b">
        <f aca="false">AND(L92,OR(M92&gt;=Setup!$C$12,N92&gt;=Setup!$C$12))</f>
        <v>0</v>
      </c>
      <c r="P92" s="19" t="n">
        <f aca="false">IF(AND(L92,NOT(O92),E92&lt;&gt;"",F92&lt;&gt;""),1,0)</f>
        <v>0</v>
      </c>
      <c r="Q92" s="0" t="str">
        <f aca="false">IF(L92,D92&amp;"|"&amp;G92,"")</f>
        <v/>
      </c>
      <c r="R92" s="0" t="str">
        <f aca="false">IF(L92,G92&amp;"|"&amp;D92,"")</f>
        <v/>
      </c>
    </row>
    <row r="93" customFormat="false" ht="15" hidden="false" customHeight="false" outlineLevel="0" collapsed="false">
      <c r="B93" s="16" t="str">
        <f aca="false">IF(L93,J93+1,"")</f>
        <v/>
      </c>
      <c r="C93" s="16" t="str">
        <f aca="false">IF(NOT(L93),"",IF(O93,"Bye",IF(IF(MOD(Setup!$C$12,2)=1,K93,K93+1)&gt;Setup!$C$8,"Next free",IF(MOD(Setup!$C$12,2)=1,K93,K93+1))))</f>
        <v/>
      </c>
      <c r="D93" s="17" t="str">
        <f aca="false">IF(NOT(L93),"",IF(M93&gt;=Setup!$C$12,"Bye",INDEX(Setup!$C$16:$C$31,M93+1)))</f>
        <v/>
      </c>
      <c r="E93" s="18"/>
      <c r="F93" s="18"/>
      <c r="G93" s="17" t="str">
        <f aca="false">IF(NOT(L93),"",IF(N93&gt;=Setup!$C$12,"Bye",INDEX(Setup!$C$16:$C$31,N93+1)))</f>
        <v/>
      </c>
      <c r="H93" s="17" t="str">
        <f aca="false">IF(OR(NOT(L93),O93,E93="",F93=""),"",IF(E93&gt;F93,D93,IF(F93&gt;E93,G93,"Tie")))</f>
        <v/>
      </c>
      <c r="J93" s="19" t="n">
        <f aca="false">IF(Setup!$C$13=0,"",INT(87/((Setup!$C$13+1)/2)))</f>
        <v>21</v>
      </c>
      <c r="K93" s="19" t="n">
        <f aca="false">IF(Setup!$C$13=0,"",MOD(87,(Setup!$C$13+1)/2))</f>
        <v>3</v>
      </c>
      <c r="L93" s="20" t="b">
        <f aca="false">AND(Setup!$C$13&gt;0,J93&lt;Setup!$C$13)</f>
        <v>0</v>
      </c>
      <c r="M93" s="0" t="str">
        <f aca="false">IF(NOT(L93),"",IF(K93=0,J93,MOD(J93+K93,Setup!$C$13)))</f>
        <v/>
      </c>
      <c r="N93" s="0" t="str">
        <f aca="false">IF(NOT(L93),"",IF(K93=0,Setup!$C$13,MOD(J93-K93+Setup!$C$13,Setup!$C$13)))</f>
        <v/>
      </c>
      <c r="O93" s="20" t="b">
        <f aca="false">AND(L93,OR(M93&gt;=Setup!$C$12,N93&gt;=Setup!$C$12))</f>
        <v>0</v>
      </c>
      <c r="P93" s="19" t="n">
        <f aca="false">IF(AND(L93,NOT(O93),E93&lt;&gt;"",F93&lt;&gt;""),1,0)</f>
        <v>0</v>
      </c>
      <c r="Q93" s="0" t="str">
        <f aca="false">IF(L93,D93&amp;"|"&amp;G93,"")</f>
        <v/>
      </c>
      <c r="R93" s="0" t="str">
        <f aca="false">IF(L93,G93&amp;"|"&amp;D93,"")</f>
        <v/>
      </c>
    </row>
    <row r="94" customFormat="false" ht="15" hidden="false" customHeight="false" outlineLevel="0" collapsed="false">
      <c r="B94" s="16" t="str">
        <f aca="false">IF(L94,J94+1,"")</f>
        <v/>
      </c>
      <c r="C94" s="16" t="str">
        <f aca="false">IF(NOT(L94),"",IF(O94,"Bye",IF(IF(MOD(Setup!$C$12,2)=1,K94,K94+1)&gt;Setup!$C$8,"Next free",IF(MOD(Setup!$C$12,2)=1,K94,K94+1))))</f>
        <v/>
      </c>
      <c r="D94" s="17" t="str">
        <f aca="false">IF(NOT(L94),"",IF(M94&gt;=Setup!$C$12,"Bye",INDEX(Setup!$C$16:$C$31,M94+1)))</f>
        <v/>
      </c>
      <c r="E94" s="18"/>
      <c r="F94" s="18"/>
      <c r="G94" s="17" t="str">
        <f aca="false">IF(NOT(L94),"",IF(N94&gt;=Setup!$C$12,"Bye",INDEX(Setup!$C$16:$C$31,N94+1)))</f>
        <v/>
      </c>
      <c r="H94" s="17" t="str">
        <f aca="false">IF(OR(NOT(L94),O94,E94="",F94=""),"",IF(E94&gt;F94,D94,IF(F94&gt;E94,G94,"Tie")))</f>
        <v/>
      </c>
      <c r="J94" s="19" t="n">
        <f aca="false">IF(Setup!$C$13=0,"",INT(88/((Setup!$C$13+1)/2)))</f>
        <v>22</v>
      </c>
      <c r="K94" s="19" t="n">
        <f aca="false">IF(Setup!$C$13=0,"",MOD(88,(Setup!$C$13+1)/2))</f>
        <v>0</v>
      </c>
      <c r="L94" s="20" t="b">
        <f aca="false">AND(Setup!$C$13&gt;0,J94&lt;Setup!$C$13)</f>
        <v>0</v>
      </c>
      <c r="M94" s="0" t="str">
        <f aca="false">IF(NOT(L94),"",IF(K94=0,J94,MOD(J94+K94,Setup!$C$13)))</f>
        <v/>
      </c>
      <c r="N94" s="0" t="str">
        <f aca="false">IF(NOT(L94),"",IF(K94=0,Setup!$C$13,MOD(J94-K94+Setup!$C$13,Setup!$C$13)))</f>
        <v/>
      </c>
      <c r="O94" s="20" t="b">
        <f aca="false">AND(L94,OR(M94&gt;=Setup!$C$12,N94&gt;=Setup!$C$12))</f>
        <v>0</v>
      </c>
      <c r="P94" s="19" t="n">
        <f aca="false">IF(AND(L94,NOT(O94),E94&lt;&gt;"",F94&lt;&gt;""),1,0)</f>
        <v>0</v>
      </c>
      <c r="Q94" s="0" t="str">
        <f aca="false">IF(L94,D94&amp;"|"&amp;G94,"")</f>
        <v/>
      </c>
      <c r="R94" s="0" t="str">
        <f aca="false">IF(L94,G94&amp;"|"&amp;D94,"")</f>
        <v/>
      </c>
    </row>
    <row r="95" customFormat="false" ht="15" hidden="false" customHeight="false" outlineLevel="0" collapsed="false">
      <c r="B95" s="16" t="str">
        <f aca="false">IF(L95,J95+1,"")</f>
        <v/>
      </c>
      <c r="C95" s="16" t="str">
        <f aca="false">IF(NOT(L95),"",IF(O95,"Bye",IF(IF(MOD(Setup!$C$12,2)=1,K95,K95+1)&gt;Setup!$C$8,"Next free",IF(MOD(Setup!$C$12,2)=1,K95,K95+1))))</f>
        <v/>
      </c>
      <c r="D95" s="17" t="str">
        <f aca="false">IF(NOT(L95),"",IF(M95&gt;=Setup!$C$12,"Bye",INDEX(Setup!$C$16:$C$31,M95+1)))</f>
        <v/>
      </c>
      <c r="E95" s="18"/>
      <c r="F95" s="18"/>
      <c r="G95" s="17" t="str">
        <f aca="false">IF(NOT(L95),"",IF(N95&gt;=Setup!$C$12,"Bye",INDEX(Setup!$C$16:$C$31,N95+1)))</f>
        <v/>
      </c>
      <c r="H95" s="17" t="str">
        <f aca="false">IF(OR(NOT(L95),O95,E95="",F95=""),"",IF(E95&gt;F95,D95,IF(F95&gt;E95,G95,"Tie")))</f>
        <v/>
      </c>
      <c r="J95" s="19" t="n">
        <f aca="false">IF(Setup!$C$13=0,"",INT(89/((Setup!$C$13+1)/2)))</f>
        <v>22</v>
      </c>
      <c r="K95" s="19" t="n">
        <f aca="false">IF(Setup!$C$13=0,"",MOD(89,(Setup!$C$13+1)/2))</f>
        <v>1</v>
      </c>
      <c r="L95" s="20" t="b">
        <f aca="false">AND(Setup!$C$13&gt;0,J95&lt;Setup!$C$13)</f>
        <v>0</v>
      </c>
      <c r="M95" s="0" t="str">
        <f aca="false">IF(NOT(L95),"",IF(K95=0,J95,MOD(J95+K95,Setup!$C$13)))</f>
        <v/>
      </c>
      <c r="N95" s="0" t="str">
        <f aca="false">IF(NOT(L95),"",IF(K95=0,Setup!$C$13,MOD(J95-K95+Setup!$C$13,Setup!$C$13)))</f>
        <v/>
      </c>
      <c r="O95" s="20" t="b">
        <f aca="false">AND(L95,OR(M95&gt;=Setup!$C$12,N95&gt;=Setup!$C$12))</f>
        <v>0</v>
      </c>
      <c r="P95" s="19" t="n">
        <f aca="false">IF(AND(L95,NOT(O95),E95&lt;&gt;"",F95&lt;&gt;""),1,0)</f>
        <v>0</v>
      </c>
      <c r="Q95" s="0" t="str">
        <f aca="false">IF(L95,D95&amp;"|"&amp;G95,"")</f>
        <v/>
      </c>
      <c r="R95" s="0" t="str">
        <f aca="false">IF(L95,G95&amp;"|"&amp;D95,"")</f>
        <v/>
      </c>
    </row>
    <row r="96" customFormat="false" ht="15" hidden="false" customHeight="false" outlineLevel="0" collapsed="false">
      <c r="B96" s="16" t="str">
        <f aca="false">IF(L96,J96+1,"")</f>
        <v/>
      </c>
      <c r="C96" s="16" t="str">
        <f aca="false">IF(NOT(L96),"",IF(O96,"Bye",IF(IF(MOD(Setup!$C$12,2)=1,K96,K96+1)&gt;Setup!$C$8,"Next free",IF(MOD(Setup!$C$12,2)=1,K96,K96+1))))</f>
        <v/>
      </c>
      <c r="D96" s="17" t="str">
        <f aca="false">IF(NOT(L96),"",IF(M96&gt;=Setup!$C$12,"Bye",INDEX(Setup!$C$16:$C$31,M96+1)))</f>
        <v/>
      </c>
      <c r="E96" s="18"/>
      <c r="F96" s="18"/>
      <c r="G96" s="17" t="str">
        <f aca="false">IF(NOT(L96),"",IF(N96&gt;=Setup!$C$12,"Bye",INDEX(Setup!$C$16:$C$31,N96+1)))</f>
        <v/>
      </c>
      <c r="H96" s="17" t="str">
        <f aca="false">IF(OR(NOT(L96),O96,E96="",F96=""),"",IF(E96&gt;F96,D96,IF(F96&gt;E96,G96,"Tie")))</f>
        <v/>
      </c>
      <c r="J96" s="19" t="n">
        <f aca="false">IF(Setup!$C$13=0,"",INT(90/((Setup!$C$13+1)/2)))</f>
        <v>22</v>
      </c>
      <c r="K96" s="19" t="n">
        <f aca="false">IF(Setup!$C$13=0,"",MOD(90,(Setup!$C$13+1)/2))</f>
        <v>2</v>
      </c>
      <c r="L96" s="20" t="b">
        <f aca="false">AND(Setup!$C$13&gt;0,J96&lt;Setup!$C$13)</f>
        <v>0</v>
      </c>
      <c r="M96" s="0" t="str">
        <f aca="false">IF(NOT(L96),"",IF(K96=0,J96,MOD(J96+K96,Setup!$C$13)))</f>
        <v/>
      </c>
      <c r="N96" s="0" t="str">
        <f aca="false">IF(NOT(L96),"",IF(K96=0,Setup!$C$13,MOD(J96-K96+Setup!$C$13,Setup!$C$13)))</f>
        <v/>
      </c>
      <c r="O96" s="20" t="b">
        <f aca="false">AND(L96,OR(M96&gt;=Setup!$C$12,N96&gt;=Setup!$C$12))</f>
        <v>0</v>
      </c>
      <c r="P96" s="19" t="n">
        <f aca="false">IF(AND(L96,NOT(O96),E96&lt;&gt;"",F96&lt;&gt;""),1,0)</f>
        <v>0</v>
      </c>
      <c r="Q96" s="0" t="str">
        <f aca="false">IF(L96,D96&amp;"|"&amp;G96,"")</f>
        <v/>
      </c>
      <c r="R96" s="0" t="str">
        <f aca="false">IF(L96,G96&amp;"|"&amp;D96,"")</f>
        <v/>
      </c>
    </row>
    <row r="97" customFormat="false" ht="15" hidden="false" customHeight="false" outlineLevel="0" collapsed="false">
      <c r="B97" s="16" t="str">
        <f aca="false">IF(L97,J97+1,"")</f>
        <v/>
      </c>
      <c r="C97" s="16" t="str">
        <f aca="false">IF(NOT(L97),"",IF(O97,"Bye",IF(IF(MOD(Setup!$C$12,2)=1,K97,K97+1)&gt;Setup!$C$8,"Next free",IF(MOD(Setup!$C$12,2)=1,K97,K97+1))))</f>
        <v/>
      </c>
      <c r="D97" s="17" t="str">
        <f aca="false">IF(NOT(L97),"",IF(M97&gt;=Setup!$C$12,"Bye",INDEX(Setup!$C$16:$C$31,M97+1)))</f>
        <v/>
      </c>
      <c r="E97" s="18"/>
      <c r="F97" s="18"/>
      <c r="G97" s="17" t="str">
        <f aca="false">IF(NOT(L97),"",IF(N97&gt;=Setup!$C$12,"Bye",INDEX(Setup!$C$16:$C$31,N97+1)))</f>
        <v/>
      </c>
      <c r="H97" s="17" t="str">
        <f aca="false">IF(OR(NOT(L97),O97,E97="",F97=""),"",IF(E97&gt;F97,D97,IF(F97&gt;E97,G97,"Tie")))</f>
        <v/>
      </c>
      <c r="J97" s="19" t="n">
        <f aca="false">IF(Setup!$C$13=0,"",INT(91/((Setup!$C$13+1)/2)))</f>
        <v>22</v>
      </c>
      <c r="K97" s="19" t="n">
        <f aca="false">IF(Setup!$C$13=0,"",MOD(91,(Setup!$C$13+1)/2))</f>
        <v>3</v>
      </c>
      <c r="L97" s="20" t="b">
        <f aca="false">AND(Setup!$C$13&gt;0,J97&lt;Setup!$C$13)</f>
        <v>0</v>
      </c>
      <c r="M97" s="0" t="str">
        <f aca="false">IF(NOT(L97),"",IF(K97=0,J97,MOD(J97+K97,Setup!$C$13)))</f>
        <v/>
      </c>
      <c r="N97" s="0" t="str">
        <f aca="false">IF(NOT(L97),"",IF(K97=0,Setup!$C$13,MOD(J97-K97+Setup!$C$13,Setup!$C$13)))</f>
        <v/>
      </c>
      <c r="O97" s="20" t="b">
        <f aca="false">AND(L97,OR(M97&gt;=Setup!$C$12,N97&gt;=Setup!$C$12))</f>
        <v>0</v>
      </c>
      <c r="P97" s="19" t="n">
        <f aca="false">IF(AND(L97,NOT(O97),E97&lt;&gt;"",F97&lt;&gt;""),1,0)</f>
        <v>0</v>
      </c>
      <c r="Q97" s="0" t="str">
        <f aca="false">IF(L97,D97&amp;"|"&amp;G97,"")</f>
        <v/>
      </c>
      <c r="R97" s="0" t="str">
        <f aca="false">IF(L97,G97&amp;"|"&amp;D97,"")</f>
        <v/>
      </c>
    </row>
    <row r="98" customFormat="false" ht="15" hidden="false" customHeight="false" outlineLevel="0" collapsed="false">
      <c r="B98" s="16" t="str">
        <f aca="false">IF(L98,J98+1,"")</f>
        <v/>
      </c>
      <c r="C98" s="16" t="str">
        <f aca="false">IF(NOT(L98),"",IF(O98,"Bye",IF(IF(MOD(Setup!$C$12,2)=1,K98,K98+1)&gt;Setup!$C$8,"Next free",IF(MOD(Setup!$C$12,2)=1,K98,K98+1))))</f>
        <v/>
      </c>
      <c r="D98" s="17" t="str">
        <f aca="false">IF(NOT(L98),"",IF(M98&gt;=Setup!$C$12,"Bye",INDEX(Setup!$C$16:$C$31,M98+1)))</f>
        <v/>
      </c>
      <c r="E98" s="18"/>
      <c r="F98" s="18"/>
      <c r="G98" s="17" t="str">
        <f aca="false">IF(NOT(L98),"",IF(N98&gt;=Setup!$C$12,"Bye",INDEX(Setup!$C$16:$C$31,N98+1)))</f>
        <v/>
      </c>
      <c r="H98" s="17" t="str">
        <f aca="false">IF(OR(NOT(L98),O98,E98="",F98=""),"",IF(E98&gt;F98,D98,IF(F98&gt;E98,G98,"Tie")))</f>
        <v/>
      </c>
      <c r="J98" s="19" t="n">
        <f aca="false">IF(Setup!$C$13=0,"",INT(92/((Setup!$C$13+1)/2)))</f>
        <v>23</v>
      </c>
      <c r="K98" s="19" t="n">
        <f aca="false">IF(Setup!$C$13=0,"",MOD(92,(Setup!$C$13+1)/2))</f>
        <v>0</v>
      </c>
      <c r="L98" s="20" t="b">
        <f aca="false">AND(Setup!$C$13&gt;0,J98&lt;Setup!$C$13)</f>
        <v>0</v>
      </c>
      <c r="M98" s="0" t="str">
        <f aca="false">IF(NOT(L98),"",IF(K98=0,J98,MOD(J98+K98,Setup!$C$13)))</f>
        <v/>
      </c>
      <c r="N98" s="0" t="str">
        <f aca="false">IF(NOT(L98),"",IF(K98=0,Setup!$C$13,MOD(J98-K98+Setup!$C$13,Setup!$C$13)))</f>
        <v/>
      </c>
      <c r="O98" s="20" t="b">
        <f aca="false">AND(L98,OR(M98&gt;=Setup!$C$12,N98&gt;=Setup!$C$12))</f>
        <v>0</v>
      </c>
      <c r="P98" s="19" t="n">
        <f aca="false">IF(AND(L98,NOT(O98),E98&lt;&gt;"",F98&lt;&gt;""),1,0)</f>
        <v>0</v>
      </c>
      <c r="Q98" s="0" t="str">
        <f aca="false">IF(L98,D98&amp;"|"&amp;G98,"")</f>
        <v/>
      </c>
      <c r="R98" s="0" t="str">
        <f aca="false">IF(L98,G98&amp;"|"&amp;D98,"")</f>
        <v/>
      </c>
    </row>
    <row r="99" customFormat="false" ht="15" hidden="false" customHeight="false" outlineLevel="0" collapsed="false">
      <c r="B99" s="16" t="str">
        <f aca="false">IF(L99,J99+1,"")</f>
        <v/>
      </c>
      <c r="C99" s="16" t="str">
        <f aca="false">IF(NOT(L99),"",IF(O99,"Bye",IF(IF(MOD(Setup!$C$12,2)=1,K99,K99+1)&gt;Setup!$C$8,"Next free",IF(MOD(Setup!$C$12,2)=1,K99,K99+1))))</f>
        <v/>
      </c>
      <c r="D99" s="17" t="str">
        <f aca="false">IF(NOT(L99),"",IF(M99&gt;=Setup!$C$12,"Bye",INDEX(Setup!$C$16:$C$31,M99+1)))</f>
        <v/>
      </c>
      <c r="E99" s="18"/>
      <c r="F99" s="18"/>
      <c r="G99" s="17" t="str">
        <f aca="false">IF(NOT(L99),"",IF(N99&gt;=Setup!$C$12,"Bye",INDEX(Setup!$C$16:$C$31,N99+1)))</f>
        <v/>
      </c>
      <c r="H99" s="17" t="str">
        <f aca="false">IF(OR(NOT(L99),O99,E99="",F99=""),"",IF(E99&gt;F99,D99,IF(F99&gt;E99,G99,"Tie")))</f>
        <v/>
      </c>
      <c r="J99" s="19" t="n">
        <f aca="false">IF(Setup!$C$13=0,"",INT(93/((Setup!$C$13+1)/2)))</f>
        <v>23</v>
      </c>
      <c r="K99" s="19" t="n">
        <f aca="false">IF(Setup!$C$13=0,"",MOD(93,(Setup!$C$13+1)/2))</f>
        <v>1</v>
      </c>
      <c r="L99" s="20" t="b">
        <f aca="false">AND(Setup!$C$13&gt;0,J99&lt;Setup!$C$13)</f>
        <v>0</v>
      </c>
      <c r="M99" s="0" t="str">
        <f aca="false">IF(NOT(L99),"",IF(K99=0,J99,MOD(J99+K99,Setup!$C$13)))</f>
        <v/>
      </c>
      <c r="N99" s="0" t="str">
        <f aca="false">IF(NOT(L99),"",IF(K99=0,Setup!$C$13,MOD(J99-K99+Setup!$C$13,Setup!$C$13)))</f>
        <v/>
      </c>
      <c r="O99" s="20" t="b">
        <f aca="false">AND(L99,OR(M99&gt;=Setup!$C$12,N99&gt;=Setup!$C$12))</f>
        <v>0</v>
      </c>
      <c r="P99" s="19" t="n">
        <f aca="false">IF(AND(L99,NOT(O99),E99&lt;&gt;"",F99&lt;&gt;""),1,0)</f>
        <v>0</v>
      </c>
      <c r="Q99" s="0" t="str">
        <f aca="false">IF(L99,D99&amp;"|"&amp;G99,"")</f>
        <v/>
      </c>
      <c r="R99" s="0" t="str">
        <f aca="false">IF(L99,G99&amp;"|"&amp;D99,"")</f>
        <v/>
      </c>
    </row>
    <row r="100" customFormat="false" ht="15" hidden="false" customHeight="false" outlineLevel="0" collapsed="false">
      <c r="B100" s="16" t="str">
        <f aca="false">IF(L100,J100+1,"")</f>
        <v/>
      </c>
      <c r="C100" s="16" t="str">
        <f aca="false">IF(NOT(L100),"",IF(O100,"Bye",IF(IF(MOD(Setup!$C$12,2)=1,K100,K100+1)&gt;Setup!$C$8,"Next free",IF(MOD(Setup!$C$12,2)=1,K100,K100+1))))</f>
        <v/>
      </c>
      <c r="D100" s="17" t="str">
        <f aca="false">IF(NOT(L100),"",IF(M100&gt;=Setup!$C$12,"Bye",INDEX(Setup!$C$16:$C$31,M100+1)))</f>
        <v/>
      </c>
      <c r="E100" s="18"/>
      <c r="F100" s="18"/>
      <c r="G100" s="17" t="str">
        <f aca="false">IF(NOT(L100),"",IF(N100&gt;=Setup!$C$12,"Bye",INDEX(Setup!$C$16:$C$31,N100+1)))</f>
        <v/>
      </c>
      <c r="H100" s="17" t="str">
        <f aca="false">IF(OR(NOT(L100),O100,E100="",F100=""),"",IF(E100&gt;F100,D100,IF(F100&gt;E100,G100,"Tie")))</f>
        <v/>
      </c>
      <c r="J100" s="19" t="n">
        <f aca="false">IF(Setup!$C$13=0,"",INT(94/((Setup!$C$13+1)/2)))</f>
        <v>23</v>
      </c>
      <c r="K100" s="19" t="n">
        <f aca="false">IF(Setup!$C$13=0,"",MOD(94,(Setup!$C$13+1)/2))</f>
        <v>2</v>
      </c>
      <c r="L100" s="20" t="b">
        <f aca="false">AND(Setup!$C$13&gt;0,J100&lt;Setup!$C$13)</f>
        <v>0</v>
      </c>
      <c r="M100" s="0" t="str">
        <f aca="false">IF(NOT(L100),"",IF(K100=0,J100,MOD(J100+K100,Setup!$C$13)))</f>
        <v/>
      </c>
      <c r="N100" s="0" t="str">
        <f aca="false">IF(NOT(L100),"",IF(K100=0,Setup!$C$13,MOD(J100-K100+Setup!$C$13,Setup!$C$13)))</f>
        <v/>
      </c>
      <c r="O100" s="20" t="b">
        <f aca="false">AND(L100,OR(M100&gt;=Setup!$C$12,N100&gt;=Setup!$C$12))</f>
        <v>0</v>
      </c>
      <c r="P100" s="19" t="n">
        <f aca="false">IF(AND(L100,NOT(O100),E100&lt;&gt;"",F100&lt;&gt;""),1,0)</f>
        <v>0</v>
      </c>
      <c r="Q100" s="0" t="str">
        <f aca="false">IF(L100,D100&amp;"|"&amp;G100,"")</f>
        <v/>
      </c>
      <c r="R100" s="0" t="str">
        <f aca="false">IF(L100,G100&amp;"|"&amp;D100,"")</f>
        <v/>
      </c>
    </row>
    <row r="101" customFormat="false" ht="15" hidden="false" customHeight="false" outlineLevel="0" collapsed="false">
      <c r="B101" s="16" t="str">
        <f aca="false">IF(L101,J101+1,"")</f>
        <v/>
      </c>
      <c r="C101" s="16" t="str">
        <f aca="false">IF(NOT(L101),"",IF(O101,"Bye",IF(IF(MOD(Setup!$C$12,2)=1,K101,K101+1)&gt;Setup!$C$8,"Next free",IF(MOD(Setup!$C$12,2)=1,K101,K101+1))))</f>
        <v/>
      </c>
      <c r="D101" s="17" t="str">
        <f aca="false">IF(NOT(L101),"",IF(M101&gt;=Setup!$C$12,"Bye",INDEX(Setup!$C$16:$C$31,M101+1)))</f>
        <v/>
      </c>
      <c r="E101" s="18"/>
      <c r="F101" s="18"/>
      <c r="G101" s="17" t="str">
        <f aca="false">IF(NOT(L101),"",IF(N101&gt;=Setup!$C$12,"Bye",INDEX(Setup!$C$16:$C$31,N101+1)))</f>
        <v/>
      </c>
      <c r="H101" s="17" t="str">
        <f aca="false">IF(OR(NOT(L101),O101,E101="",F101=""),"",IF(E101&gt;F101,D101,IF(F101&gt;E101,G101,"Tie")))</f>
        <v/>
      </c>
      <c r="J101" s="19" t="n">
        <f aca="false">IF(Setup!$C$13=0,"",INT(95/((Setup!$C$13+1)/2)))</f>
        <v>23</v>
      </c>
      <c r="K101" s="19" t="n">
        <f aca="false">IF(Setup!$C$13=0,"",MOD(95,(Setup!$C$13+1)/2))</f>
        <v>3</v>
      </c>
      <c r="L101" s="20" t="b">
        <f aca="false">AND(Setup!$C$13&gt;0,J101&lt;Setup!$C$13)</f>
        <v>0</v>
      </c>
      <c r="M101" s="0" t="str">
        <f aca="false">IF(NOT(L101),"",IF(K101=0,J101,MOD(J101+K101,Setup!$C$13)))</f>
        <v/>
      </c>
      <c r="N101" s="0" t="str">
        <f aca="false">IF(NOT(L101),"",IF(K101=0,Setup!$C$13,MOD(J101-K101+Setup!$C$13,Setup!$C$13)))</f>
        <v/>
      </c>
      <c r="O101" s="20" t="b">
        <f aca="false">AND(L101,OR(M101&gt;=Setup!$C$12,N101&gt;=Setup!$C$12))</f>
        <v>0</v>
      </c>
      <c r="P101" s="19" t="n">
        <f aca="false">IF(AND(L101,NOT(O101),E101&lt;&gt;"",F101&lt;&gt;""),1,0)</f>
        <v>0</v>
      </c>
      <c r="Q101" s="0" t="str">
        <f aca="false">IF(L101,D101&amp;"|"&amp;G101,"")</f>
        <v/>
      </c>
      <c r="R101" s="0" t="str">
        <f aca="false">IF(L101,G101&amp;"|"&amp;D101,"")</f>
        <v/>
      </c>
    </row>
    <row r="102" customFormat="false" ht="15" hidden="false" customHeight="false" outlineLevel="0" collapsed="false">
      <c r="B102" s="16" t="str">
        <f aca="false">IF(L102,J102+1,"")</f>
        <v/>
      </c>
      <c r="C102" s="16" t="str">
        <f aca="false">IF(NOT(L102),"",IF(O102,"Bye",IF(IF(MOD(Setup!$C$12,2)=1,K102,K102+1)&gt;Setup!$C$8,"Next free",IF(MOD(Setup!$C$12,2)=1,K102,K102+1))))</f>
        <v/>
      </c>
      <c r="D102" s="17" t="str">
        <f aca="false">IF(NOT(L102),"",IF(M102&gt;=Setup!$C$12,"Bye",INDEX(Setup!$C$16:$C$31,M102+1)))</f>
        <v/>
      </c>
      <c r="E102" s="18"/>
      <c r="F102" s="18"/>
      <c r="G102" s="17" t="str">
        <f aca="false">IF(NOT(L102),"",IF(N102&gt;=Setup!$C$12,"Bye",INDEX(Setup!$C$16:$C$31,N102+1)))</f>
        <v/>
      </c>
      <c r="H102" s="17" t="str">
        <f aca="false">IF(OR(NOT(L102),O102,E102="",F102=""),"",IF(E102&gt;F102,D102,IF(F102&gt;E102,G102,"Tie")))</f>
        <v/>
      </c>
      <c r="J102" s="19" t="n">
        <f aca="false">IF(Setup!$C$13=0,"",INT(96/((Setup!$C$13+1)/2)))</f>
        <v>24</v>
      </c>
      <c r="K102" s="19" t="n">
        <f aca="false">IF(Setup!$C$13=0,"",MOD(96,(Setup!$C$13+1)/2))</f>
        <v>0</v>
      </c>
      <c r="L102" s="20" t="b">
        <f aca="false">AND(Setup!$C$13&gt;0,J102&lt;Setup!$C$13)</f>
        <v>0</v>
      </c>
      <c r="M102" s="0" t="str">
        <f aca="false">IF(NOT(L102),"",IF(K102=0,J102,MOD(J102+K102,Setup!$C$13)))</f>
        <v/>
      </c>
      <c r="N102" s="0" t="str">
        <f aca="false">IF(NOT(L102),"",IF(K102=0,Setup!$C$13,MOD(J102-K102+Setup!$C$13,Setup!$C$13)))</f>
        <v/>
      </c>
      <c r="O102" s="20" t="b">
        <f aca="false">AND(L102,OR(M102&gt;=Setup!$C$12,N102&gt;=Setup!$C$12))</f>
        <v>0</v>
      </c>
      <c r="P102" s="19" t="n">
        <f aca="false">IF(AND(L102,NOT(O102),E102&lt;&gt;"",F102&lt;&gt;""),1,0)</f>
        <v>0</v>
      </c>
      <c r="Q102" s="0" t="str">
        <f aca="false">IF(L102,D102&amp;"|"&amp;G102,"")</f>
        <v/>
      </c>
      <c r="R102" s="0" t="str">
        <f aca="false">IF(L102,G102&amp;"|"&amp;D102,"")</f>
        <v/>
      </c>
    </row>
    <row r="103" customFormat="false" ht="15" hidden="false" customHeight="false" outlineLevel="0" collapsed="false">
      <c r="B103" s="16" t="str">
        <f aca="false">IF(L103,J103+1,"")</f>
        <v/>
      </c>
      <c r="C103" s="16" t="str">
        <f aca="false">IF(NOT(L103),"",IF(O103,"Bye",IF(IF(MOD(Setup!$C$12,2)=1,K103,K103+1)&gt;Setup!$C$8,"Next free",IF(MOD(Setup!$C$12,2)=1,K103,K103+1))))</f>
        <v/>
      </c>
      <c r="D103" s="17" t="str">
        <f aca="false">IF(NOT(L103),"",IF(M103&gt;=Setup!$C$12,"Bye",INDEX(Setup!$C$16:$C$31,M103+1)))</f>
        <v/>
      </c>
      <c r="E103" s="18"/>
      <c r="F103" s="18"/>
      <c r="G103" s="17" t="str">
        <f aca="false">IF(NOT(L103),"",IF(N103&gt;=Setup!$C$12,"Bye",INDEX(Setup!$C$16:$C$31,N103+1)))</f>
        <v/>
      </c>
      <c r="H103" s="17" t="str">
        <f aca="false">IF(OR(NOT(L103),O103,E103="",F103=""),"",IF(E103&gt;F103,D103,IF(F103&gt;E103,G103,"Tie")))</f>
        <v/>
      </c>
      <c r="J103" s="19" t="n">
        <f aca="false">IF(Setup!$C$13=0,"",INT(97/((Setup!$C$13+1)/2)))</f>
        <v>24</v>
      </c>
      <c r="K103" s="19" t="n">
        <f aca="false">IF(Setup!$C$13=0,"",MOD(97,(Setup!$C$13+1)/2))</f>
        <v>1</v>
      </c>
      <c r="L103" s="20" t="b">
        <f aca="false">AND(Setup!$C$13&gt;0,J103&lt;Setup!$C$13)</f>
        <v>0</v>
      </c>
      <c r="M103" s="0" t="str">
        <f aca="false">IF(NOT(L103),"",IF(K103=0,J103,MOD(J103+K103,Setup!$C$13)))</f>
        <v/>
      </c>
      <c r="N103" s="0" t="str">
        <f aca="false">IF(NOT(L103),"",IF(K103=0,Setup!$C$13,MOD(J103-K103+Setup!$C$13,Setup!$C$13)))</f>
        <v/>
      </c>
      <c r="O103" s="20" t="b">
        <f aca="false">AND(L103,OR(M103&gt;=Setup!$C$12,N103&gt;=Setup!$C$12))</f>
        <v>0</v>
      </c>
      <c r="P103" s="19" t="n">
        <f aca="false">IF(AND(L103,NOT(O103),E103&lt;&gt;"",F103&lt;&gt;""),1,0)</f>
        <v>0</v>
      </c>
      <c r="Q103" s="0" t="str">
        <f aca="false">IF(L103,D103&amp;"|"&amp;G103,"")</f>
        <v/>
      </c>
      <c r="R103" s="0" t="str">
        <f aca="false">IF(L103,G103&amp;"|"&amp;D103,"")</f>
        <v/>
      </c>
    </row>
    <row r="104" customFormat="false" ht="15" hidden="false" customHeight="false" outlineLevel="0" collapsed="false">
      <c r="B104" s="16" t="str">
        <f aca="false">IF(L104,J104+1,"")</f>
        <v/>
      </c>
      <c r="C104" s="16" t="str">
        <f aca="false">IF(NOT(L104),"",IF(O104,"Bye",IF(IF(MOD(Setup!$C$12,2)=1,K104,K104+1)&gt;Setup!$C$8,"Next free",IF(MOD(Setup!$C$12,2)=1,K104,K104+1))))</f>
        <v/>
      </c>
      <c r="D104" s="17" t="str">
        <f aca="false">IF(NOT(L104),"",IF(M104&gt;=Setup!$C$12,"Bye",INDEX(Setup!$C$16:$C$31,M104+1)))</f>
        <v/>
      </c>
      <c r="E104" s="18"/>
      <c r="F104" s="18"/>
      <c r="G104" s="17" t="str">
        <f aca="false">IF(NOT(L104),"",IF(N104&gt;=Setup!$C$12,"Bye",INDEX(Setup!$C$16:$C$31,N104+1)))</f>
        <v/>
      </c>
      <c r="H104" s="17" t="str">
        <f aca="false">IF(OR(NOT(L104),O104,E104="",F104=""),"",IF(E104&gt;F104,D104,IF(F104&gt;E104,G104,"Tie")))</f>
        <v/>
      </c>
      <c r="J104" s="19" t="n">
        <f aca="false">IF(Setup!$C$13=0,"",INT(98/((Setup!$C$13+1)/2)))</f>
        <v>24</v>
      </c>
      <c r="K104" s="19" t="n">
        <f aca="false">IF(Setup!$C$13=0,"",MOD(98,(Setup!$C$13+1)/2))</f>
        <v>2</v>
      </c>
      <c r="L104" s="20" t="b">
        <f aca="false">AND(Setup!$C$13&gt;0,J104&lt;Setup!$C$13)</f>
        <v>0</v>
      </c>
      <c r="M104" s="0" t="str">
        <f aca="false">IF(NOT(L104),"",IF(K104=0,J104,MOD(J104+K104,Setup!$C$13)))</f>
        <v/>
      </c>
      <c r="N104" s="0" t="str">
        <f aca="false">IF(NOT(L104),"",IF(K104=0,Setup!$C$13,MOD(J104-K104+Setup!$C$13,Setup!$C$13)))</f>
        <v/>
      </c>
      <c r="O104" s="20" t="b">
        <f aca="false">AND(L104,OR(M104&gt;=Setup!$C$12,N104&gt;=Setup!$C$12))</f>
        <v>0</v>
      </c>
      <c r="P104" s="19" t="n">
        <f aca="false">IF(AND(L104,NOT(O104),E104&lt;&gt;"",F104&lt;&gt;""),1,0)</f>
        <v>0</v>
      </c>
      <c r="Q104" s="0" t="str">
        <f aca="false">IF(L104,D104&amp;"|"&amp;G104,"")</f>
        <v/>
      </c>
      <c r="R104" s="0" t="str">
        <f aca="false">IF(L104,G104&amp;"|"&amp;D104,"")</f>
        <v/>
      </c>
    </row>
    <row r="105" customFormat="false" ht="15" hidden="false" customHeight="false" outlineLevel="0" collapsed="false">
      <c r="B105" s="16" t="str">
        <f aca="false">IF(L105,J105+1,"")</f>
        <v/>
      </c>
      <c r="C105" s="16" t="str">
        <f aca="false">IF(NOT(L105),"",IF(O105,"Bye",IF(IF(MOD(Setup!$C$12,2)=1,K105,K105+1)&gt;Setup!$C$8,"Next free",IF(MOD(Setup!$C$12,2)=1,K105,K105+1))))</f>
        <v/>
      </c>
      <c r="D105" s="17" t="str">
        <f aca="false">IF(NOT(L105),"",IF(M105&gt;=Setup!$C$12,"Bye",INDEX(Setup!$C$16:$C$31,M105+1)))</f>
        <v/>
      </c>
      <c r="E105" s="18"/>
      <c r="F105" s="18"/>
      <c r="G105" s="17" t="str">
        <f aca="false">IF(NOT(L105),"",IF(N105&gt;=Setup!$C$12,"Bye",INDEX(Setup!$C$16:$C$31,N105+1)))</f>
        <v/>
      </c>
      <c r="H105" s="17" t="str">
        <f aca="false">IF(OR(NOT(L105),O105,E105="",F105=""),"",IF(E105&gt;F105,D105,IF(F105&gt;E105,G105,"Tie")))</f>
        <v/>
      </c>
      <c r="J105" s="19" t="n">
        <f aca="false">IF(Setup!$C$13=0,"",INT(99/((Setup!$C$13+1)/2)))</f>
        <v>24</v>
      </c>
      <c r="K105" s="19" t="n">
        <f aca="false">IF(Setup!$C$13=0,"",MOD(99,(Setup!$C$13+1)/2))</f>
        <v>3</v>
      </c>
      <c r="L105" s="20" t="b">
        <f aca="false">AND(Setup!$C$13&gt;0,J105&lt;Setup!$C$13)</f>
        <v>0</v>
      </c>
      <c r="M105" s="0" t="str">
        <f aca="false">IF(NOT(L105),"",IF(K105=0,J105,MOD(J105+K105,Setup!$C$13)))</f>
        <v/>
      </c>
      <c r="N105" s="0" t="str">
        <f aca="false">IF(NOT(L105),"",IF(K105=0,Setup!$C$13,MOD(J105-K105+Setup!$C$13,Setup!$C$13)))</f>
        <v/>
      </c>
      <c r="O105" s="20" t="b">
        <f aca="false">AND(L105,OR(M105&gt;=Setup!$C$12,N105&gt;=Setup!$C$12))</f>
        <v>0</v>
      </c>
      <c r="P105" s="19" t="n">
        <f aca="false">IF(AND(L105,NOT(O105),E105&lt;&gt;"",F105&lt;&gt;""),1,0)</f>
        <v>0</v>
      </c>
      <c r="Q105" s="0" t="str">
        <f aca="false">IF(L105,D105&amp;"|"&amp;G105,"")</f>
        <v/>
      </c>
      <c r="R105" s="0" t="str">
        <f aca="false">IF(L105,G105&amp;"|"&amp;D105,"")</f>
        <v/>
      </c>
    </row>
    <row r="106" customFormat="false" ht="15" hidden="false" customHeight="false" outlineLevel="0" collapsed="false">
      <c r="B106" s="16" t="str">
        <f aca="false">IF(L106,J106+1,"")</f>
        <v/>
      </c>
      <c r="C106" s="16" t="str">
        <f aca="false">IF(NOT(L106),"",IF(O106,"Bye",IF(IF(MOD(Setup!$C$12,2)=1,K106,K106+1)&gt;Setup!$C$8,"Next free",IF(MOD(Setup!$C$12,2)=1,K106,K106+1))))</f>
        <v/>
      </c>
      <c r="D106" s="17" t="str">
        <f aca="false">IF(NOT(L106),"",IF(M106&gt;=Setup!$C$12,"Bye",INDEX(Setup!$C$16:$C$31,M106+1)))</f>
        <v/>
      </c>
      <c r="E106" s="18"/>
      <c r="F106" s="18"/>
      <c r="G106" s="17" t="str">
        <f aca="false">IF(NOT(L106),"",IF(N106&gt;=Setup!$C$12,"Bye",INDEX(Setup!$C$16:$C$31,N106+1)))</f>
        <v/>
      </c>
      <c r="H106" s="17" t="str">
        <f aca="false">IF(OR(NOT(L106),O106,E106="",F106=""),"",IF(E106&gt;F106,D106,IF(F106&gt;E106,G106,"Tie")))</f>
        <v/>
      </c>
      <c r="J106" s="19" t="n">
        <f aca="false">IF(Setup!$C$13=0,"",INT(100/((Setup!$C$13+1)/2)))</f>
        <v>25</v>
      </c>
      <c r="K106" s="19" t="n">
        <f aca="false">IF(Setup!$C$13=0,"",MOD(100,(Setup!$C$13+1)/2))</f>
        <v>0</v>
      </c>
      <c r="L106" s="20" t="b">
        <f aca="false">AND(Setup!$C$13&gt;0,J106&lt;Setup!$C$13)</f>
        <v>0</v>
      </c>
      <c r="M106" s="0" t="str">
        <f aca="false">IF(NOT(L106),"",IF(K106=0,J106,MOD(J106+K106,Setup!$C$13)))</f>
        <v/>
      </c>
      <c r="N106" s="0" t="str">
        <f aca="false">IF(NOT(L106),"",IF(K106=0,Setup!$C$13,MOD(J106-K106+Setup!$C$13,Setup!$C$13)))</f>
        <v/>
      </c>
      <c r="O106" s="20" t="b">
        <f aca="false">AND(L106,OR(M106&gt;=Setup!$C$12,N106&gt;=Setup!$C$12))</f>
        <v>0</v>
      </c>
      <c r="P106" s="19" t="n">
        <f aca="false">IF(AND(L106,NOT(O106),E106&lt;&gt;"",F106&lt;&gt;""),1,0)</f>
        <v>0</v>
      </c>
      <c r="Q106" s="0" t="str">
        <f aca="false">IF(L106,D106&amp;"|"&amp;G106,"")</f>
        <v/>
      </c>
      <c r="R106" s="0" t="str">
        <f aca="false">IF(L106,G106&amp;"|"&amp;D106,"")</f>
        <v/>
      </c>
    </row>
    <row r="107" customFormat="false" ht="15" hidden="false" customHeight="false" outlineLevel="0" collapsed="false">
      <c r="B107" s="16" t="str">
        <f aca="false">IF(L107,J107+1,"")</f>
        <v/>
      </c>
      <c r="C107" s="16" t="str">
        <f aca="false">IF(NOT(L107),"",IF(O107,"Bye",IF(IF(MOD(Setup!$C$12,2)=1,K107,K107+1)&gt;Setup!$C$8,"Next free",IF(MOD(Setup!$C$12,2)=1,K107,K107+1))))</f>
        <v/>
      </c>
      <c r="D107" s="17" t="str">
        <f aca="false">IF(NOT(L107),"",IF(M107&gt;=Setup!$C$12,"Bye",INDEX(Setup!$C$16:$C$31,M107+1)))</f>
        <v/>
      </c>
      <c r="E107" s="18"/>
      <c r="F107" s="18"/>
      <c r="G107" s="17" t="str">
        <f aca="false">IF(NOT(L107),"",IF(N107&gt;=Setup!$C$12,"Bye",INDEX(Setup!$C$16:$C$31,N107+1)))</f>
        <v/>
      </c>
      <c r="H107" s="17" t="str">
        <f aca="false">IF(OR(NOT(L107),O107,E107="",F107=""),"",IF(E107&gt;F107,D107,IF(F107&gt;E107,G107,"Tie")))</f>
        <v/>
      </c>
      <c r="J107" s="19" t="n">
        <f aca="false">IF(Setup!$C$13=0,"",INT(101/((Setup!$C$13+1)/2)))</f>
        <v>25</v>
      </c>
      <c r="K107" s="19" t="n">
        <f aca="false">IF(Setup!$C$13=0,"",MOD(101,(Setup!$C$13+1)/2))</f>
        <v>1</v>
      </c>
      <c r="L107" s="20" t="b">
        <f aca="false">AND(Setup!$C$13&gt;0,J107&lt;Setup!$C$13)</f>
        <v>0</v>
      </c>
      <c r="M107" s="0" t="str">
        <f aca="false">IF(NOT(L107),"",IF(K107=0,J107,MOD(J107+K107,Setup!$C$13)))</f>
        <v/>
      </c>
      <c r="N107" s="0" t="str">
        <f aca="false">IF(NOT(L107),"",IF(K107=0,Setup!$C$13,MOD(J107-K107+Setup!$C$13,Setup!$C$13)))</f>
        <v/>
      </c>
      <c r="O107" s="20" t="b">
        <f aca="false">AND(L107,OR(M107&gt;=Setup!$C$12,N107&gt;=Setup!$C$12))</f>
        <v>0</v>
      </c>
      <c r="P107" s="19" t="n">
        <f aca="false">IF(AND(L107,NOT(O107),E107&lt;&gt;"",F107&lt;&gt;""),1,0)</f>
        <v>0</v>
      </c>
      <c r="Q107" s="0" t="str">
        <f aca="false">IF(L107,D107&amp;"|"&amp;G107,"")</f>
        <v/>
      </c>
      <c r="R107" s="0" t="str">
        <f aca="false">IF(L107,G107&amp;"|"&amp;D107,"")</f>
        <v/>
      </c>
    </row>
    <row r="108" customFormat="false" ht="15" hidden="false" customHeight="false" outlineLevel="0" collapsed="false">
      <c r="B108" s="16" t="str">
        <f aca="false">IF(L108,J108+1,"")</f>
        <v/>
      </c>
      <c r="C108" s="16" t="str">
        <f aca="false">IF(NOT(L108),"",IF(O108,"Bye",IF(IF(MOD(Setup!$C$12,2)=1,K108,K108+1)&gt;Setup!$C$8,"Next free",IF(MOD(Setup!$C$12,2)=1,K108,K108+1))))</f>
        <v/>
      </c>
      <c r="D108" s="17" t="str">
        <f aca="false">IF(NOT(L108),"",IF(M108&gt;=Setup!$C$12,"Bye",INDEX(Setup!$C$16:$C$31,M108+1)))</f>
        <v/>
      </c>
      <c r="E108" s="18"/>
      <c r="F108" s="18"/>
      <c r="G108" s="17" t="str">
        <f aca="false">IF(NOT(L108),"",IF(N108&gt;=Setup!$C$12,"Bye",INDEX(Setup!$C$16:$C$31,N108+1)))</f>
        <v/>
      </c>
      <c r="H108" s="17" t="str">
        <f aca="false">IF(OR(NOT(L108),O108,E108="",F108=""),"",IF(E108&gt;F108,D108,IF(F108&gt;E108,G108,"Tie")))</f>
        <v/>
      </c>
      <c r="J108" s="19" t="n">
        <f aca="false">IF(Setup!$C$13=0,"",INT(102/((Setup!$C$13+1)/2)))</f>
        <v>25</v>
      </c>
      <c r="K108" s="19" t="n">
        <f aca="false">IF(Setup!$C$13=0,"",MOD(102,(Setup!$C$13+1)/2))</f>
        <v>2</v>
      </c>
      <c r="L108" s="20" t="b">
        <f aca="false">AND(Setup!$C$13&gt;0,J108&lt;Setup!$C$13)</f>
        <v>0</v>
      </c>
      <c r="M108" s="0" t="str">
        <f aca="false">IF(NOT(L108),"",IF(K108=0,J108,MOD(J108+K108,Setup!$C$13)))</f>
        <v/>
      </c>
      <c r="N108" s="0" t="str">
        <f aca="false">IF(NOT(L108),"",IF(K108=0,Setup!$C$13,MOD(J108-K108+Setup!$C$13,Setup!$C$13)))</f>
        <v/>
      </c>
      <c r="O108" s="20" t="b">
        <f aca="false">AND(L108,OR(M108&gt;=Setup!$C$12,N108&gt;=Setup!$C$12))</f>
        <v>0</v>
      </c>
      <c r="P108" s="19" t="n">
        <f aca="false">IF(AND(L108,NOT(O108),E108&lt;&gt;"",F108&lt;&gt;""),1,0)</f>
        <v>0</v>
      </c>
      <c r="Q108" s="0" t="str">
        <f aca="false">IF(L108,D108&amp;"|"&amp;G108,"")</f>
        <v/>
      </c>
      <c r="R108" s="0" t="str">
        <f aca="false">IF(L108,G108&amp;"|"&amp;D108,"")</f>
        <v/>
      </c>
    </row>
    <row r="109" customFormat="false" ht="15" hidden="false" customHeight="false" outlineLevel="0" collapsed="false">
      <c r="B109" s="16" t="str">
        <f aca="false">IF(L109,J109+1,"")</f>
        <v/>
      </c>
      <c r="C109" s="16" t="str">
        <f aca="false">IF(NOT(L109),"",IF(O109,"Bye",IF(IF(MOD(Setup!$C$12,2)=1,K109,K109+1)&gt;Setup!$C$8,"Next free",IF(MOD(Setup!$C$12,2)=1,K109,K109+1))))</f>
        <v/>
      </c>
      <c r="D109" s="17" t="str">
        <f aca="false">IF(NOT(L109),"",IF(M109&gt;=Setup!$C$12,"Bye",INDEX(Setup!$C$16:$C$31,M109+1)))</f>
        <v/>
      </c>
      <c r="E109" s="18"/>
      <c r="F109" s="18"/>
      <c r="G109" s="17" t="str">
        <f aca="false">IF(NOT(L109),"",IF(N109&gt;=Setup!$C$12,"Bye",INDEX(Setup!$C$16:$C$31,N109+1)))</f>
        <v/>
      </c>
      <c r="H109" s="17" t="str">
        <f aca="false">IF(OR(NOT(L109),O109,E109="",F109=""),"",IF(E109&gt;F109,D109,IF(F109&gt;E109,G109,"Tie")))</f>
        <v/>
      </c>
      <c r="J109" s="19" t="n">
        <f aca="false">IF(Setup!$C$13=0,"",INT(103/((Setup!$C$13+1)/2)))</f>
        <v>25</v>
      </c>
      <c r="K109" s="19" t="n">
        <f aca="false">IF(Setup!$C$13=0,"",MOD(103,(Setup!$C$13+1)/2))</f>
        <v>3</v>
      </c>
      <c r="L109" s="20" t="b">
        <f aca="false">AND(Setup!$C$13&gt;0,J109&lt;Setup!$C$13)</f>
        <v>0</v>
      </c>
      <c r="M109" s="0" t="str">
        <f aca="false">IF(NOT(L109),"",IF(K109=0,J109,MOD(J109+K109,Setup!$C$13)))</f>
        <v/>
      </c>
      <c r="N109" s="0" t="str">
        <f aca="false">IF(NOT(L109),"",IF(K109=0,Setup!$C$13,MOD(J109-K109+Setup!$C$13,Setup!$C$13)))</f>
        <v/>
      </c>
      <c r="O109" s="20" t="b">
        <f aca="false">AND(L109,OR(M109&gt;=Setup!$C$12,N109&gt;=Setup!$C$12))</f>
        <v>0</v>
      </c>
      <c r="P109" s="19" t="n">
        <f aca="false">IF(AND(L109,NOT(O109),E109&lt;&gt;"",F109&lt;&gt;""),1,0)</f>
        <v>0</v>
      </c>
      <c r="Q109" s="0" t="str">
        <f aca="false">IF(L109,D109&amp;"|"&amp;G109,"")</f>
        <v/>
      </c>
      <c r="R109" s="0" t="str">
        <f aca="false">IF(L109,G109&amp;"|"&amp;D109,"")</f>
        <v/>
      </c>
    </row>
    <row r="110" customFormat="false" ht="15" hidden="false" customHeight="false" outlineLevel="0" collapsed="false">
      <c r="B110" s="16" t="str">
        <f aca="false">IF(L110,J110+1,"")</f>
        <v/>
      </c>
      <c r="C110" s="16" t="str">
        <f aca="false">IF(NOT(L110),"",IF(O110,"Bye",IF(IF(MOD(Setup!$C$12,2)=1,K110,K110+1)&gt;Setup!$C$8,"Next free",IF(MOD(Setup!$C$12,2)=1,K110,K110+1))))</f>
        <v/>
      </c>
      <c r="D110" s="17" t="str">
        <f aca="false">IF(NOT(L110),"",IF(M110&gt;=Setup!$C$12,"Bye",INDEX(Setup!$C$16:$C$31,M110+1)))</f>
        <v/>
      </c>
      <c r="E110" s="18"/>
      <c r="F110" s="18"/>
      <c r="G110" s="17" t="str">
        <f aca="false">IF(NOT(L110),"",IF(N110&gt;=Setup!$C$12,"Bye",INDEX(Setup!$C$16:$C$31,N110+1)))</f>
        <v/>
      </c>
      <c r="H110" s="17" t="str">
        <f aca="false">IF(OR(NOT(L110),O110,E110="",F110=""),"",IF(E110&gt;F110,D110,IF(F110&gt;E110,G110,"Tie")))</f>
        <v/>
      </c>
      <c r="J110" s="19" t="n">
        <f aca="false">IF(Setup!$C$13=0,"",INT(104/((Setup!$C$13+1)/2)))</f>
        <v>26</v>
      </c>
      <c r="K110" s="19" t="n">
        <f aca="false">IF(Setup!$C$13=0,"",MOD(104,(Setup!$C$13+1)/2))</f>
        <v>0</v>
      </c>
      <c r="L110" s="20" t="b">
        <f aca="false">AND(Setup!$C$13&gt;0,J110&lt;Setup!$C$13)</f>
        <v>0</v>
      </c>
      <c r="M110" s="0" t="str">
        <f aca="false">IF(NOT(L110),"",IF(K110=0,J110,MOD(J110+K110,Setup!$C$13)))</f>
        <v/>
      </c>
      <c r="N110" s="0" t="str">
        <f aca="false">IF(NOT(L110),"",IF(K110=0,Setup!$C$13,MOD(J110-K110+Setup!$C$13,Setup!$C$13)))</f>
        <v/>
      </c>
      <c r="O110" s="20" t="b">
        <f aca="false">AND(L110,OR(M110&gt;=Setup!$C$12,N110&gt;=Setup!$C$12))</f>
        <v>0</v>
      </c>
      <c r="P110" s="19" t="n">
        <f aca="false">IF(AND(L110,NOT(O110),E110&lt;&gt;"",F110&lt;&gt;""),1,0)</f>
        <v>0</v>
      </c>
      <c r="Q110" s="0" t="str">
        <f aca="false">IF(L110,D110&amp;"|"&amp;G110,"")</f>
        <v/>
      </c>
      <c r="R110" s="0" t="str">
        <f aca="false">IF(L110,G110&amp;"|"&amp;D110,"")</f>
        <v/>
      </c>
    </row>
    <row r="111" customFormat="false" ht="15" hidden="false" customHeight="false" outlineLevel="0" collapsed="false">
      <c r="B111" s="16" t="str">
        <f aca="false">IF(L111,J111+1,"")</f>
        <v/>
      </c>
      <c r="C111" s="16" t="str">
        <f aca="false">IF(NOT(L111),"",IF(O111,"Bye",IF(IF(MOD(Setup!$C$12,2)=1,K111,K111+1)&gt;Setup!$C$8,"Next free",IF(MOD(Setup!$C$12,2)=1,K111,K111+1))))</f>
        <v/>
      </c>
      <c r="D111" s="17" t="str">
        <f aca="false">IF(NOT(L111),"",IF(M111&gt;=Setup!$C$12,"Bye",INDEX(Setup!$C$16:$C$31,M111+1)))</f>
        <v/>
      </c>
      <c r="E111" s="18"/>
      <c r="F111" s="18"/>
      <c r="G111" s="17" t="str">
        <f aca="false">IF(NOT(L111),"",IF(N111&gt;=Setup!$C$12,"Bye",INDEX(Setup!$C$16:$C$31,N111+1)))</f>
        <v/>
      </c>
      <c r="H111" s="17" t="str">
        <f aca="false">IF(OR(NOT(L111),O111,E111="",F111=""),"",IF(E111&gt;F111,D111,IF(F111&gt;E111,G111,"Tie")))</f>
        <v/>
      </c>
      <c r="J111" s="19" t="n">
        <f aca="false">IF(Setup!$C$13=0,"",INT(105/((Setup!$C$13+1)/2)))</f>
        <v>26</v>
      </c>
      <c r="K111" s="19" t="n">
        <f aca="false">IF(Setup!$C$13=0,"",MOD(105,(Setup!$C$13+1)/2))</f>
        <v>1</v>
      </c>
      <c r="L111" s="20" t="b">
        <f aca="false">AND(Setup!$C$13&gt;0,J111&lt;Setup!$C$13)</f>
        <v>0</v>
      </c>
      <c r="M111" s="0" t="str">
        <f aca="false">IF(NOT(L111),"",IF(K111=0,J111,MOD(J111+K111,Setup!$C$13)))</f>
        <v/>
      </c>
      <c r="N111" s="0" t="str">
        <f aca="false">IF(NOT(L111),"",IF(K111=0,Setup!$C$13,MOD(J111-K111+Setup!$C$13,Setup!$C$13)))</f>
        <v/>
      </c>
      <c r="O111" s="20" t="b">
        <f aca="false">AND(L111,OR(M111&gt;=Setup!$C$12,N111&gt;=Setup!$C$12))</f>
        <v>0</v>
      </c>
      <c r="P111" s="19" t="n">
        <f aca="false">IF(AND(L111,NOT(O111),E111&lt;&gt;"",F111&lt;&gt;""),1,0)</f>
        <v>0</v>
      </c>
      <c r="Q111" s="0" t="str">
        <f aca="false">IF(L111,D111&amp;"|"&amp;G111,"")</f>
        <v/>
      </c>
      <c r="R111" s="0" t="str">
        <f aca="false">IF(L111,G111&amp;"|"&amp;D111,"")</f>
        <v/>
      </c>
    </row>
    <row r="112" customFormat="false" ht="15" hidden="false" customHeight="false" outlineLevel="0" collapsed="false">
      <c r="B112" s="16" t="str">
        <f aca="false">IF(L112,J112+1,"")</f>
        <v/>
      </c>
      <c r="C112" s="16" t="str">
        <f aca="false">IF(NOT(L112),"",IF(O112,"Bye",IF(IF(MOD(Setup!$C$12,2)=1,K112,K112+1)&gt;Setup!$C$8,"Next free",IF(MOD(Setup!$C$12,2)=1,K112,K112+1))))</f>
        <v/>
      </c>
      <c r="D112" s="17" t="str">
        <f aca="false">IF(NOT(L112),"",IF(M112&gt;=Setup!$C$12,"Bye",INDEX(Setup!$C$16:$C$31,M112+1)))</f>
        <v/>
      </c>
      <c r="E112" s="18"/>
      <c r="F112" s="18"/>
      <c r="G112" s="17" t="str">
        <f aca="false">IF(NOT(L112),"",IF(N112&gt;=Setup!$C$12,"Bye",INDEX(Setup!$C$16:$C$31,N112+1)))</f>
        <v/>
      </c>
      <c r="H112" s="17" t="str">
        <f aca="false">IF(OR(NOT(L112),O112,E112="",F112=""),"",IF(E112&gt;F112,D112,IF(F112&gt;E112,G112,"Tie")))</f>
        <v/>
      </c>
      <c r="J112" s="19" t="n">
        <f aca="false">IF(Setup!$C$13=0,"",INT(106/((Setup!$C$13+1)/2)))</f>
        <v>26</v>
      </c>
      <c r="K112" s="19" t="n">
        <f aca="false">IF(Setup!$C$13=0,"",MOD(106,(Setup!$C$13+1)/2))</f>
        <v>2</v>
      </c>
      <c r="L112" s="20" t="b">
        <f aca="false">AND(Setup!$C$13&gt;0,J112&lt;Setup!$C$13)</f>
        <v>0</v>
      </c>
      <c r="M112" s="0" t="str">
        <f aca="false">IF(NOT(L112),"",IF(K112=0,J112,MOD(J112+K112,Setup!$C$13)))</f>
        <v/>
      </c>
      <c r="N112" s="0" t="str">
        <f aca="false">IF(NOT(L112),"",IF(K112=0,Setup!$C$13,MOD(J112-K112+Setup!$C$13,Setup!$C$13)))</f>
        <v/>
      </c>
      <c r="O112" s="20" t="b">
        <f aca="false">AND(L112,OR(M112&gt;=Setup!$C$12,N112&gt;=Setup!$C$12))</f>
        <v>0</v>
      </c>
      <c r="P112" s="19" t="n">
        <f aca="false">IF(AND(L112,NOT(O112),E112&lt;&gt;"",F112&lt;&gt;""),1,0)</f>
        <v>0</v>
      </c>
      <c r="Q112" s="0" t="str">
        <f aca="false">IF(L112,D112&amp;"|"&amp;G112,"")</f>
        <v/>
      </c>
      <c r="R112" s="0" t="str">
        <f aca="false">IF(L112,G112&amp;"|"&amp;D112,"")</f>
        <v/>
      </c>
    </row>
    <row r="113" customFormat="false" ht="15" hidden="false" customHeight="false" outlineLevel="0" collapsed="false">
      <c r="B113" s="16" t="str">
        <f aca="false">IF(L113,J113+1,"")</f>
        <v/>
      </c>
      <c r="C113" s="16" t="str">
        <f aca="false">IF(NOT(L113),"",IF(O113,"Bye",IF(IF(MOD(Setup!$C$12,2)=1,K113,K113+1)&gt;Setup!$C$8,"Next free",IF(MOD(Setup!$C$12,2)=1,K113,K113+1))))</f>
        <v/>
      </c>
      <c r="D113" s="17" t="str">
        <f aca="false">IF(NOT(L113),"",IF(M113&gt;=Setup!$C$12,"Bye",INDEX(Setup!$C$16:$C$31,M113+1)))</f>
        <v/>
      </c>
      <c r="E113" s="18"/>
      <c r="F113" s="18"/>
      <c r="G113" s="17" t="str">
        <f aca="false">IF(NOT(L113),"",IF(N113&gt;=Setup!$C$12,"Bye",INDEX(Setup!$C$16:$C$31,N113+1)))</f>
        <v/>
      </c>
      <c r="H113" s="17" t="str">
        <f aca="false">IF(OR(NOT(L113),O113,E113="",F113=""),"",IF(E113&gt;F113,D113,IF(F113&gt;E113,G113,"Tie")))</f>
        <v/>
      </c>
      <c r="J113" s="19" t="n">
        <f aca="false">IF(Setup!$C$13=0,"",INT(107/((Setup!$C$13+1)/2)))</f>
        <v>26</v>
      </c>
      <c r="K113" s="19" t="n">
        <f aca="false">IF(Setup!$C$13=0,"",MOD(107,(Setup!$C$13+1)/2))</f>
        <v>3</v>
      </c>
      <c r="L113" s="20" t="b">
        <f aca="false">AND(Setup!$C$13&gt;0,J113&lt;Setup!$C$13)</f>
        <v>0</v>
      </c>
      <c r="M113" s="0" t="str">
        <f aca="false">IF(NOT(L113),"",IF(K113=0,J113,MOD(J113+K113,Setup!$C$13)))</f>
        <v/>
      </c>
      <c r="N113" s="0" t="str">
        <f aca="false">IF(NOT(L113),"",IF(K113=0,Setup!$C$13,MOD(J113-K113+Setup!$C$13,Setup!$C$13)))</f>
        <v/>
      </c>
      <c r="O113" s="20" t="b">
        <f aca="false">AND(L113,OR(M113&gt;=Setup!$C$12,N113&gt;=Setup!$C$12))</f>
        <v>0</v>
      </c>
      <c r="P113" s="19" t="n">
        <f aca="false">IF(AND(L113,NOT(O113),E113&lt;&gt;"",F113&lt;&gt;""),1,0)</f>
        <v>0</v>
      </c>
      <c r="Q113" s="0" t="str">
        <f aca="false">IF(L113,D113&amp;"|"&amp;G113,"")</f>
        <v/>
      </c>
      <c r="R113" s="0" t="str">
        <f aca="false">IF(L113,G113&amp;"|"&amp;D113,"")</f>
        <v/>
      </c>
    </row>
    <row r="114" customFormat="false" ht="15" hidden="false" customHeight="false" outlineLevel="0" collapsed="false">
      <c r="B114" s="16" t="str">
        <f aca="false">IF(L114,J114+1,"")</f>
        <v/>
      </c>
      <c r="C114" s="16" t="str">
        <f aca="false">IF(NOT(L114),"",IF(O114,"Bye",IF(IF(MOD(Setup!$C$12,2)=1,K114,K114+1)&gt;Setup!$C$8,"Next free",IF(MOD(Setup!$C$12,2)=1,K114,K114+1))))</f>
        <v/>
      </c>
      <c r="D114" s="17" t="str">
        <f aca="false">IF(NOT(L114),"",IF(M114&gt;=Setup!$C$12,"Bye",INDEX(Setup!$C$16:$C$31,M114+1)))</f>
        <v/>
      </c>
      <c r="E114" s="18"/>
      <c r="F114" s="18"/>
      <c r="G114" s="17" t="str">
        <f aca="false">IF(NOT(L114),"",IF(N114&gt;=Setup!$C$12,"Bye",INDEX(Setup!$C$16:$C$31,N114+1)))</f>
        <v/>
      </c>
      <c r="H114" s="17" t="str">
        <f aca="false">IF(OR(NOT(L114),O114,E114="",F114=""),"",IF(E114&gt;F114,D114,IF(F114&gt;E114,G114,"Tie")))</f>
        <v/>
      </c>
      <c r="J114" s="19" t="n">
        <f aca="false">IF(Setup!$C$13=0,"",INT(108/((Setup!$C$13+1)/2)))</f>
        <v>27</v>
      </c>
      <c r="K114" s="19" t="n">
        <f aca="false">IF(Setup!$C$13=0,"",MOD(108,(Setup!$C$13+1)/2))</f>
        <v>0</v>
      </c>
      <c r="L114" s="20" t="b">
        <f aca="false">AND(Setup!$C$13&gt;0,J114&lt;Setup!$C$13)</f>
        <v>0</v>
      </c>
      <c r="M114" s="0" t="str">
        <f aca="false">IF(NOT(L114),"",IF(K114=0,J114,MOD(J114+K114,Setup!$C$13)))</f>
        <v/>
      </c>
      <c r="N114" s="0" t="str">
        <f aca="false">IF(NOT(L114),"",IF(K114=0,Setup!$C$13,MOD(J114-K114+Setup!$C$13,Setup!$C$13)))</f>
        <v/>
      </c>
      <c r="O114" s="20" t="b">
        <f aca="false">AND(L114,OR(M114&gt;=Setup!$C$12,N114&gt;=Setup!$C$12))</f>
        <v>0</v>
      </c>
      <c r="P114" s="19" t="n">
        <f aca="false">IF(AND(L114,NOT(O114),E114&lt;&gt;"",F114&lt;&gt;""),1,0)</f>
        <v>0</v>
      </c>
      <c r="Q114" s="0" t="str">
        <f aca="false">IF(L114,D114&amp;"|"&amp;G114,"")</f>
        <v/>
      </c>
      <c r="R114" s="0" t="str">
        <f aca="false">IF(L114,G114&amp;"|"&amp;D114,"")</f>
        <v/>
      </c>
    </row>
    <row r="115" customFormat="false" ht="15" hidden="false" customHeight="false" outlineLevel="0" collapsed="false">
      <c r="B115" s="16" t="str">
        <f aca="false">IF(L115,J115+1,"")</f>
        <v/>
      </c>
      <c r="C115" s="16" t="str">
        <f aca="false">IF(NOT(L115),"",IF(O115,"Bye",IF(IF(MOD(Setup!$C$12,2)=1,K115,K115+1)&gt;Setup!$C$8,"Next free",IF(MOD(Setup!$C$12,2)=1,K115,K115+1))))</f>
        <v/>
      </c>
      <c r="D115" s="17" t="str">
        <f aca="false">IF(NOT(L115),"",IF(M115&gt;=Setup!$C$12,"Bye",INDEX(Setup!$C$16:$C$31,M115+1)))</f>
        <v/>
      </c>
      <c r="E115" s="18"/>
      <c r="F115" s="18"/>
      <c r="G115" s="17" t="str">
        <f aca="false">IF(NOT(L115),"",IF(N115&gt;=Setup!$C$12,"Bye",INDEX(Setup!$C$16:$C$31,N115+1)))</f>
        <v/>
      </c>
      <c r="H115" s="17" t="str">
        <f aca="false">IF(OR(NOT(L115),O115,E115="",F115=""),"",IF(E115&gt;F115,D115,IF(F115&gt;E115,G115,"Tie")))</f>
        <v/>
      </c>
      <c r="J115" s="19" t="n">
        <f aca="false">IF(Setup!$C$13=0,"",INT(109/((Setup!$C$13+1)/2)))</f>
        <v>27</v>
      </c>
      <c r="K115" s="19" t="n">
        <f aca="false">IF(Setup!$C$13=0,"",MOD(109,(Setup!$C$13+1)/2))</f>
        <v>1</v>
      </c>
      <c r="L115" s="20" t="b">
        <f aca="false">AND(Setup!$C$13&gt;0,J115&lt;Setup!$C$13)</f>
        <v>0</v>
      </c>
      <c r="M115" s="0" t="str">
        <f aca="false">IF(NOT(L115),"",IF(K115=0,J115,MOD(J115+K115,Setup!$C$13)))</f>
        <v/>
      </c>
      <c r="N115" s="0" t="str">
        <f aca="false">IF(NOT(L115),"",IF(K115=0,Setup!$C$13,MOD(J115-K115+Setup!$C$13,Setup!$C$13)))</f>
        <v/>
      </c>
      <c r="O115" s="20" t="b">
        <f aca="false">AND(L115,OR(M115&gt;=Setup!$C$12,N115&gt;=Setup!$C$12))</f>
        <v>0</v>
      </c>
      <c r="P115" s="19" t="n">
        <f aca="false">IF(AND(L115,NOT(O115),E115&lt;&gt;"",F115&lt;&gt;""),1,0)</f>
        <v>0</v>
      </c>
      <c r="Q115" s="0" t="str">
        <f aca="false">IF(L115,D115&amp;"|"&amp;G115,"")</f>
        <v/>
      </c>
      <c r="R115" s="0" t="str">
        <f aca="false">IF(L115,G115&amp;"|"&amp;D115,"")</f>
        <v/>
      </c>
    </row>
    <row r="116" customFormat="false" ht="15" hidden="false" customHeight="false" outlineLevel="0" collapsed="false">
      <c r="B116" s="16" t="str">
        <f aca="false">IF(L116,J116+1,"")</f>
        <v/>
      </c>
      <c r="C116" s="16" t="str">
        <f aca="false">IF(NOT(L116),"",IF(O116,"Bye",IF(IF(MOD(Setup!$C$12,2)=1,K116,K116+1)&gt;Setup!$C$8,"Next free",IF(MOD(Setup!$C$12,2)=1,K116,K116+1))))</f>
        <v/>
      </c>
      <c r="D116" s="17" t="str">
        <f aca="false">IF(NOT(L116),"",IF(M116&gt;=Setup!$C$12,"Bye",INDEX(Setup!$C$16:$C$31,M116+1)))</f>
        <v/>
      </c>
      <c r="E116" s="18"/>
      <c r="F116" s="18"/>
      <c r="G116" s="17" t="str">
        <f aca="false">IF(NOT(L116),"",IF(N116&gt;=Setup!$C$12,"Bye",INDEX(Setup!$C$16:$C$31,N116+1)))</f>
        <v/>
      </c>
      <c r="H116" s="17" t="str">
        <f aca="false">IF(OR(NOT(L116),O116,E116="",F116=""),"",IF(E116&gt;F116,D116,IF(F116&gt;E116,G116,"Tie")))</f>
        <v/>
      </c>
      <c r="J116" s="19" t="n">
        <f aca="false">IF(Setup!$C$13=0,"",INT(110/((Setup!$C$13+1)/2)))</f>
        <v>27</v>
      </c>
      <c r="K116" s="19" t="n">
        <f aca="false">IF(Setup!$C$13=0,"",MOD(110,(Setup!$C$13+1)/2))</f>
        <v>2</v>
      </c>
      <c r="L116" s="20" t="b">
        <f aca="false">AND(Setup!$C$13&gt;0,J116&lt;Setup!$C$13)</f>
        <v>0</v>
      </c>
      <c r="M116" s="0" t="str">
        <f aca="false">IF(NOT(L116),"",IF(K116=0,J116,MOD(J116+K116,Setup!$C$13)))</f>
        <v/>
      </c>
      <c r="N116" s="0" t="str">
        <f aca="false">IF(NOT(L116),"",IF(K116=0,Setup!$C$13,MOD(J116-K116+Setup!$C$13,Setup!$C$13)))</f>
        <v/>
      </c>
      <c r="O116" s="20" t="b">
        <f aca="false">AND(L116,OR(M116&gt;=Setup!$C$12,N116&gt;=Setup!$C$12))</f>
        <v>0</v>
      </c>
      <c r="P116" s="19" t="n">
        <f aca="false">IF(AND(L116,NOT(O116),E116&lt;&gt;"",F116&lt;&gt;""),1,0)</f>
        <v>0</v>
      </c>
      <c r="Q116" s="0" t="str">
        <f aca="false">IF(L116,D116&amp;"|"&amp;G116,"")</f>
        <v/>
      </c>
      <c r="R116" s="0" t="str">
        <f aca="false">IF(L116,G116&amp;"|"&amp;D116,"")</f>
        <v/>
      </c>
    </row>
    <row r="117" customFormat="false" ht="15" hidden="false" customHeight="false" outlineLevel="0" collapsed="false">
      <c r="B117" s="16" t="str">
        <f aca="false">IF(L117,J117+1,"")</f>
        <v/>
      </c>
      <c r="C117" s="16" t="str">
        <f aca="false">IF(NOT(L117),"",IF(O117,"Bye",IF(IF(MOD(Setup!$C$12,2)=1,K117,K117+1)&gt;Setup!$C$8,"Next free",IF(MOD(Setup!$C$12,2)=1,K117,K117+1))))</f>
        <v/>
      </c>
      <c r="D117" s="17" t="str">
        <f aca="false">IF(NOT(L117),"",IF(M117&gt;=Setup!$C$12,"Bye",INDEX(Setup!$C$16:$C$31,M117+1)))</f>
        <v/>
      </c>
      <c r="E117" s="18"/>
      <c r="F117" s="18"/>
      <c r="G117" s="17" t="str">
        <f aca="false">IF(NOT(L117),"",IF(N117&gt;=Setup!$C$12,"Bye",INDEX(Setup!$C$16:$C$31,N117+1)))</f>
        <v/>
      </c>
      <c r="H117" s="17" t="str">
        <f aca="false">IF(OR(NOT(L117),O117,E117="",F117=""),"",IF(E117&gt;F117,D117,IF(F117&gt;E117,G117,"Tie")))</f>
        <v/>
      </c>
      <c r="J117" s="19" t="n">
        <f aca="false">IF(Setup!$C$13=0,"",INT(111/((Setup!$C$13+1)/2)))</f>
        <v>27</v>
      </c>
      <c r="K117" s="19" t="n">
        <f aca="false">IF(Setup!$C$13=0,"",MOD(111,(Setup!$C$13+1)/2))</f>
        <v>3</v>
      </c>
      <c r="L117" s="20" t="b">
        <f aca="false">AND(Setup!$C$13&gt;0,J117&lt;Setup!$C$13)</f>
        <v>0</v>
      </c>
      <c r="M117" s="0" t="str">
        <f aca="false">IF(NOT(L117),"",IF(K117=0,J117,MOD(J117+K117,Setup!$C$13)))</f>
        <v/>
      </c>
      <c r="N117" s="0" t="str">
        <f aca="false">IF(NOT(L117),"",IF(K117=0,Setup!$C$13,MOD(J117-K117+Setup!$C$13,Setup!$C$13)))</f>
        <v/>
      </c>
      <c r="O117" s="20" t="b">
        <f aca="false">AND(L117,OR(M117&gt;=Setup!$C$12,N117&gt;=Setup!$C$12))</f>
        <v>0</v>
      </c>
      <c r="P117" s="19" t="n">
        <f aca="false">IF(AND(L117,NOT(O117),E117&lt;&gt;"",F117&lt;&gt;""),1,0)</f>
        <v>0</v>
      </c>
      <c r="Q117" s="0" t="str">
        <f aca="false">IF(L117,D117&amp;"|"&amp;G117,"")</f>
        <v/>
      </c>
      <c r="R117" s="0" t="str">
        <f aca="false">IF(L117,G117&amp;"|"&amp;D117,"")</f>
        <v/>
      </c>
    </row>
    <row r="118" customFormat="false" ht="15" hidden="false" customHeight="false" outlineLevel="0" collapsed="false">
      <c r="B118" s="16" t="str">
        <f aca="false">IF(L118,J118+1,"")</f>
        <v/>
      </c>
      <c r="C118" s="16" t="str">
        <f aca="false">IF(NOT(L118),"",IF(O118,"Bye",IF(IF(MOD(Setup!$C$12,2)=1,K118,K118+1)&gt;Setup!$C$8,"Next free",IF(MOD(Setup!$C$12,2)=1,K118,K118+1))))</f>
        <v/>
      </c>
      <c r="D118" s="17" t="str">
        <f aca="false">IF(NOT(L118),"",IF(M118&gt;=Setup!$C$12,"Bye",INDEX(Setup!$C$16:$C$31,M118+1)))</f>
        <v/>
      </c>
      <c r="E118" s="18"/>
      <c r="F118" s="18"/>
      <c r="G118" s="17" t="str">
        <f aca="false">IF(NOT(L118),"",IF(N118&gt;=Setup!$C$12,"Bye",INDEX(Setup!$C$16:$C$31,N118+1)))</f>
        <v/>
      </c>
      <c r="H118" s="17" t="str">
        <f aca="false">IF(OR(NOT(L118),O118,E118="",F118=""),"",IF(E118&gt;F118,D118,IF(F118&gt;E118,G118,"Tie")))</f>
        <v/>
      </c>
      <c r="J118" s="19" t="n">
        <f aca="false">IF(Setup!$C$13=0,"",INT(112/((Setup!$C$13+1)/2)))</f>
        <v>28</v>
      </c>
      <c r="K118" s="19" t="n">
        <f aca="false">IF(Setup!$C$13=0,"",MOD(112,(Setup!$C$13+1)/2))</f>
        <v>0</v>
      </c>
      <c r="L118" s="20" t="b">
        <f aca="false">AND(Setup!$C$13&gt;0,J118&lt;Setup!$C$13)</f>
        <v>0</v>
      </c>
      <c r="M118" s="0" t="str">
        <f aca="false">IF(NOT(L118),"",IF(K118=0,J118,MOD(J118+K118,Setup!$C$13)))</f>
        <v/>
      </c>
      <c r="N118" s="0" t="str">
        <f aca="false">IF(NOT(L118),"",IF(K118=0,Setup!$C$13,MOD(J118-K118+Setup!$C$13,Setup!$C$13)))</f>
        <v/>
      </c>
      <c r="O118" s="20" t="b">
        <f aca="false">AND(L118,OR(M118&gt;=Setup!$C$12,N118&gt;=Setup!$C$12))</f>
        <v>0</v>
      </c>
      <c r="P118" s="19" t="n">
        <f aca="false">IF(AND(L118,NOT(O118),E118&lt;&gt;"",F118&lt;&gt;""),1,0)</f>
        <v>0</v>
      </c>
      <c r="Q118" s="0" t="str">
        <f aca="false">IF(L118,D118&amp;"|"&amp;G118,"")</f>
        <v/>
      </c>
      <c r="R118" s="0" t="str">
        <f aca="false">IF(L118,G118&amp;"|"&amp;D118,"")</f>
        <v/>
      </c>
    </row>
    <row r="119" customFormat="false" ht="15" hidden="false" customHeight="false" outlineLevel="0" collapsed="false">
      <c r="B119" s="16" t="str">
        <f aca="false">IF(L119,J119+1,"")</f>
        <v/>
      </c>
      <c r="C119" s="16" t="str">
        <f aca="false">IF(NOT(L119),"",IF(O119,"Bye",IF(IF(MOD(Setup!$C$12,2)=1,K119,K119+1)&gt;Setup!$C$8,"Next free",IF(MOD(Setup!$C$12,2)=1,K119,K119+1))))</f>
        <v/>
      </c>
      <c r="D119" s="17" t="str">
        <f aca="false">IF(NOT(L119),"",IF(M119&gt;=Setup!$C$12,"Bye",INDEX(Setup!$C$16:$C$31,M119+1)))</f>
        <v/>
      </c>
      <c r="E119" s="18"/>
      <c r="F119" s="18"/>
      <c r="G119" s="17" t="str">
        <f aca="false">IF(NOT(L119),"",IF(N119&gt;=Setup!$C$12,"Bye",INDEX(Setup!$C$16:$C$31,N119+1)))</f>
        <v/>
      </c>
      <c r="H119" s="17" t="str">
        <f aca="false">IF(OR(NOT(L119),O119,E119="",F119=""),"",IF(E119&gt;F119,D119,IF(F119&gt;E119,G119,"Tie")))</f>
        <v/>
      </c>
      <c r="J119" s="19" t="n">
        <f aca="false">IF(Setup!$C$13=0,"",INT(113/((Setup!$C$13+1)/2)))</f>
        <v>28</v>
      </c>
      <c r="K119" s="19" t="n">
        <f aca="false">IF(Setup!$C$13=0,"",MOD(113,(Setup!$C$13+1)/2))</f>
        <v>1</v>
      </c>
      <c r="L119" s="20" t="b">
        <f aca="false">AND(Setup!$C$13&gt;0,J119&lt;Setup!$C$13)</f>
        <v>0</v>
      </c>
      <c r="M119" s="0" t="str">
        <f aca="false">IF(NOT(L119),"",IF(K119=0,J119,MOD(J119+K119,Setup!$C$13)))</f>
        <v/>
      </c>
      <c r="N119" s="0" t="str">
        <f aca="false">IF(NOT(L119),"",IF(K119=0,Setup!$C$13,MOD(J119-K119+Setup!$C$13,Setup!$C$13)))</f>
        <v/>
      </c>
      <c r="O119" s="20" t="b">
        <f aca="false">AND(L119,OR(M119&gt;=Setup!$C$12,N119&gt;=Setup!$C$12))</f>
        <v>0</v>
      </c>
      <c r="P119" s="19" t="n">
        <f aca="false">IF(AND(L119,NOT(O119),E119&lt;&gt;"",F119&lt;&gt;""),1,0)</f>
        <v>0</v>
      </c>
      <c r="Q119" s="0" t="str">
        <f aca="false">IF(L119,D119&amp;"|"&amp;G119,"")</f>
        <v/>
      </c>
      <c r="R119" s="0" t="str">
        <f aca="false">IF(L119,G119&amp;"|"&amp;D119,"")</f>
        <v/>
      </c>
    </row>
    <row r="120" customFormat="false" ht="15" hidden="false" customHeight="false" outlineLevel="0" collapsed="false">
      <c r="B120" s="16" t="str">
        <f aca="false">IF(L120,J120+1,"")</f>
        <v/>
      </c>
      <c r="C120" s="16" t="str">
        <f aca="false">IF(NOT(L120),"",IF(O120,"Bye",IF(IF(MOD(Setup!$C$12,2)=1,K120,K120+1)&gt;Setup!$C$8,"Next free",IF(MOD(Setup!$C$12,2)=1,K120,K120+1))))</f>
        <v/>
      </c>
      <c r="D120" s="17" t="str">
        <f aca="false">IF(NOT(L120),"",IF(M120&gt;=Setup!$C$12,"Bye",INDEX(Setup!$C$16:$C$31,M120+1)))</f>
        <v/>
      </c>
      <c r="E120" s="18"/>
      <c r="F120" s="18"/>
      <c r="G120" s="17" t="str">
        <f aca="false">IF(NOT(L120),"",IF(N120&gt;=Setup!$C$12,"Bye",INDEX(Setup!$C$16:$C$31,N120+1)))</f>
        <v/>
      </c>
      <c r="H120" s="17" t="str">
        <f aca="false">IF(OR(NOT(L120),O120,E120="",F120=""),"",IF(E120&gt;F120,D120,IF(F120&gt;E120,G120,"Tie")))</f>
        <v/>
      </c>
      <c r="J120" s="19" t="n">
        <f aca="false">IF(Setup!$C$13=0,"",INT(114/((Setup!$C$13+1)/2)))</f>
        <v>28</v>
      </c>
      <c r="K120" s="19" t="n">
        <f aca="false">IF(Setup!$C$13=0,"",MOD(114,(Setup!$C$13+1)/2))</f>
        <v>2</v>
      </c>
      <c r="L120" s="20" t="b">
        <f aca="false">AND(Setup!$C$13&gt;0,J120&lt;Setup!$C$13)</f>
        <v>0</v>
      </c>
      <c r="M120" s="0" t="str">
        <f aca="false">IF(NOT(L120),"",IF(K120=0,J120,MOD(J120+K120,Setup!$C$13)))</f>
        <v/>
      </c>
      <c r="N120" s="0" t="str">
        <f aca="false">IF(NOT(L120),"",IF(K120=0,Setup!$C$13,MOD(J120-K120+Setup!$C$13,Setup!$C$13)))</f>
        <v/>
      </c>
      <c r="O120" s="20" t="b">
        <f aca="false">AND(L120,OR(M120&gt;=Setup!$C$12,N120&gt;=Setup!$C$12))</f>
        <v>0</v>
      </c>
      <c r="P120" s="19" t="n">
        <f aca="false">IF(AND(L120,NOT(O120),E120&lt;&gt;"",F120&lt;&gt;""),1,0)</f>
        <v>0</v>
      </c>
      <c r="Q120" s="0" t="str">
        <f aca="false">IF(L120,D120&amp;"|"&amp;G120,"")</f>
        <v/>
      </c>
      <c r="R120" s="0" t="str">
        <f aca="false">IF(L120,G120&amp;"|"&amp;D120,"")</f>
        <v/>
      </c>
    </row>
    <row r="121" customFormat="false" ht="15" hidden="false" customHeight="false" outlineLevel="0" collapsed="false">
      <c r="B121" s="16" t="str">
        <f aca="false">IF(L121,J121+1,"")</f>
        <v/>
      </c>
      <c r="C121" s="16" t="str">
        <f aca="false">IF(NOT(L121),"",IF(O121,"Bye",IF(IF(MOD(Setup!$C$12,2)=1,K121,K121+1)&gt;Setup!$C$8,"Next free",IF(MOD(Setup!$C$12,2)=1,K121,K121+1))))</f>
        <v/>
      </c>
      <c r="D121" s="17" t="str">
        <f aca="false">IF(NOT(L121),"",IF(M121&gt;=Setup!$C$12,"Bye",INDEX(Setup!$C$16:$C$31,M121+1)))</f>
        <v/>
      </c>
      <c r="E121" s="18"/>
      <c r="F121" s="18"/>
      <c r="G121" s="17" t="str">
        <f aca="false">IF(NOT(L121),"",IF(N121&gt;=Setup!$C$12,"Bye",INDEX(Setup!$C$16:$C$31,N121+1)))</f>
        <v/>
      </c>
      <c r="H121" s="17" t="str">
        <f aca="false">IF(OR(NOT(L121),O121,E121="",F121=""),"",IF(E121&gt;F121,D121,IF(F121&gt;E121,G121,"Tie")))</f>
        <v/>
      </c>
      <c r="J121" s="19" t="n">
        <f aca="false">IF(Setup!$C$13=0,"",INT(115/((Setup!$C$13+1)/2)))</f>
        <v>28</v>
      </c>
      <c r="K121" s="19" t="n">
        <f aca="false">IF(Setup!$C$13=0,"",MOD(115,(Setup!$C$13+1)/2))</f>
        <v>3</v>
      </c>
      <c r="L121" s="20" t="b">
        <f aca="false">AND(Setup!$C$13&gt;0,J121&lt;Setup!$C$13)</f>
        <v>0</v>
      </c>
      <c r="M121" s="0" t="str">
        <f aca="false">IF(NOT(L121),"",IF(K121=0,J121,MOD(J121+K121,Setup!$C$13)))</f>
        <v/>
      </c>
      <c r="N121" s="0" t="str">
        <f aca="false">IF(NOT(L121),"",IF(K121=0,Setup!$C$13,MOD(J121-K121+Setup!$C$13,Setup!$C$13)))</f>
        <v/>
      </c>
      <c r="O121" s="20" t="b">
        <f aca="false">AND(L121,OR(M121&gt;=Setup!$C$12,N121&gt;=Setup!$C$12))</f>
        <v>0</v>
      </c>
      <c r="P121" s="19" t="n">
        <f aca="false">IF(AND(L121,NOT(O121),E121&lt;&gt;"",F121&lt;&gt;""),1,0)</f>
        <v>0</v>
      </c>
      <c r="Q121" s="0" t="str">
        <f aca="false">IF(L121,D121&amp;"|"&amp;G121,"")</f>
        <v/>
      </c>
      <c r="R121" s="0" t="str">
        <f aca="false">IF(L121,G121&amp;"|"&amp;D121,"")</f>
        <v/>
      </c>
    </row>
    <row r="122" customFormat="false" ht="15" hidden="false" customHeight="false" outlineLevel="0" collapsed="false">
      <c r="B122" s="16" t="str">
        <f aca="false">IF(L122,J122+1,"")</f>
        <v/>
      </c>
      <c r="C122" s="16" t="str">
        <f aca="false">IF(NOT(L122),"",IF(O122,"Bye",IF(IF(MOD(Setup!$C$12,2)=1,K122,K122+1)&gt;Setup!$C$8,"Next free",IF(MOD(Setup!$C$12,2)=1,K122,K122+1))))</f>
        <v/>
      </c>
      <c r="D122" s="17" t="str">
        <f aca="false">IF(NOT(L122),"",IF(M122&gt;=Setup!$C$12,"Bye",INDEX(Setup!$C$16:$C$31,M122+1)))</f>
        <v/>
      </c>
      <c r="E122" s="18"/>
      <c r="F122" s="18"/>
      <c r="G122" s="17" t="str">
        <f aca="false">IF(NOT(L122),"",IF(N122&gt;=Setup!$C$12,"Bye",INDEX(Setup!$C$16:$C$31,N122+1)))</f>
        <v/>
      </c>
      <c r="H122" s="17" t="str">
        <f aca="false">IF(OR(NOT(L122),O122,E122="",F122=""),"",IF(E122&gt;F122,D122,IF(F122&gt;E122,G122,"Tie")))</f>
        <v/>
      </c>
      <c r="J122" s="19" t="n">
        <f aca="false">IF(Setup!$C$13=0,"",INT(116/((Setup!$C$13+1)/2)))</f>
        <v>29</v>
      </c>
      <c r="K122" s="19" t="n">
        <f aca="false">IF(Setup!$C$13=0,"",MOD(116,(Setup!$C$13+1)/2))</f>
        <v>0</v>
      </c>
      <c r="L122" s="20" t="b">
        <f aca="false">AND(Setup!$C$13&gt;0,J122&lt;Setup!$C$13)</f>
        <v>0</v>
      </c>
      <c r="M122" s="0" t="str">
        <f aca="false">IF(NOT(L122),"",IF(K122=0,J122,MOD(J122+K122,Setup!$C$13)))</f>
        <v/>
      </c>
      <c r="N122" s="0" t="str">
        <f aca="false">IF(NOT(L122),"",IF(K122=0,Setup!$C$13,MOD(J122-K122+Setup!$C$13,Setup!$C$13)))</f>
        <v/>
      </c>
      <c r="O122" s="20" t="b">
        <f aca="false">AND(L122,OR(M122&gt;=Setup!$C$12,N122&gt;=Setup!$C$12))</f>
        <v>0</v>
      </c>
      <c r="P122" s="19" t="n">
        <f aca="false">IF(AND(L122,NOT(O122),E122&lt;&gt;"",F122&lt;&gt;""),1,0)</f>
        <v>0</v>
      </c>
      <c r="Q122" s="0" t="str">
        <f aca="false">IF(L122,D122&amp;"|"&amp;G122,"")</f>
        <v/>
      </c>
      <c r="R122" s="0" t="str">
        <f aca="false">IF(L122,G122&amp;"|"&amp;D122,"")</f>
        <v/>
      </c>
    </row>
    <row r="123" customFormat="false" ht="15" hidden="false" customHeight="false" outlineLevel="0" collapsed="false">
      <c r="B123" s="16" t="str">
        <f aca="false">IF(L123,J123+1,"")</f>
        <v/>
      </c>
      <c r="C123" s="16" t="str">
        <f aca="false">IF(NOT(L123),"",IF(O123,"Bye",IF(IF(MOD(Setup!$C$12,2)=1,K123,K123+1)&gt;Setup!$C$8,"Next free",IF(MOD(Setup!$C$12,2)=1,K123,K123+1))))</f>
        <v/>
      </c>
      <c r="D123" s="17" t="str">
        <f aca="false">IF(NOT(L123),"",IF(M123&gt;=Setup!$C$12,"Bye",INDEX(Setup!$C$16:$C$31,M123+1)))</f>
        <v/>
      </c>
      <c r="E123" s="18"/>
      <c r="F123" s="18"/>
      <c r="G123" s="17" t="str">
        <f aca="false">IF(NOT(L123),"",IF(N123&gt;=Setup!$C$12,"Bye",INDEX(Setup!$C$16:$C$31,N123+1)))</f>
        <v/>
      </c>
      <c r="H123" s="17" t="str">
        <f aca="false">IF(OR(NOT(L123),O123,E123="",F123=""),"",IF(E123&gt;F123,D123,IF(F123&gt;E123,G123,"Tie")))</f>
        <v/>
      </c>
      <c r="J123" s="19" t="n">
        <f aca="false">IF(Setup!$C$13=0,"",INT(117/((Setup!$C$13+1)/2)))</f>
        <v>29</v>
      </c>
      <c r="K123" s="19" t="n">
        <f aca="false">IF(Setup!$C$13=0,"",MOD(117,(Setup!$C$13+1)/2))</f>
        <v>1</v>
      </c>
      <c r="L123" s="20" t="b">
        <f aca="false">AND(Setup!$C$13&gt;0,J123&lt;Setup!$C$13)</f>
        <v>0</v>
      </c>
      <c r="M123" s="0" t="str">
        <f aca="false">IF(NOT(L123),"",IF(K123=0,J123,MOD(J123+K123,Setup!$C$13)))</f>
        <v/>
      </c>
      <c r="N123" s="0" t="str">
        <f aca="false">IF(NOT(L123),"",IF(K123=0,Setup!$C$13,MOD(J123-K123+Setup!$C$13,Setup!$C$13)))</f>
        <v/>
      </c>
      <c r="O123" s="20" t="b">
        <f aca="false">AND(L123,OR(M123&gt;=Setup!$C$12,N123&gt;=Setup!$C$12))</f>
        <v>0</v>
      </c>
      <c r="P123" s="19" t="n">
        <f aca="false">IF(AND(L123,NOT(O123),E123&lt;&gt;"",F123&lt;&gt;""),1,0)</f>
        <v>0</v>
      </c>
      <c r="Q123" s="0" t="str">
        <f aca="false">IF(L123,D123&amp;"|"&amp;G123,"")</f>
        <v/>
      </c>
      <c r="R123" s="0" t="str">
        <f aca="false">IF(L123,G123&amp;"|"&amp;D123,"")</f>
        <v/>
      </c>
    </row>
    <row r="124" customFormat="false" ht="15" hidden="false" customHeight="false" outlineLevel="0" collapsed="false">
      <c r="B124" s="16" t="str">
        <f aca="false">IF(L124,J124+1,"")</f>
        <v/>
      </c>
      <c r="C124" s="16" t="str">
        <f aca="false">IF(NOT(L124),"",IF(O124,"Bye",IF(IF(MOD(Setup!$C$12,2)=1,K124,K124+1)&gt;Setup!$C$8,"Next free",IF(MOD(Setup!$C$12,2)=1,K124,K124+1))))</f>
        <v/>
      </c>
      <c r="D124" s="17" t="str">
        <f aca="false">IF(NOT(L124),"",IF(M124&gt;=Setup!$C$12,"Bye",INDEX(Setup!$C$16:$C$31,M124+1)))</f>
        <v/>
      </c>
      <c r="E124" s="18"/>
      <c r="F124" s="18"/>
      <c r="G124" s="17" t="str">
        <f aca="false">IF(NOT(L124),"",IF(N124&gt;=Setup!$C$12,"Bye",INDEX(Setup!$C$16:$C$31,N124+1)))</f>
        <v/>
      </c>
      <c r="H124" s="17" t="str">
        <f aca="false">IF(OR(NOT(L124),O124,E124="",F124=""),"",IF(E124&gt;F124,D124,IF(F124&gt;E124,G124,"Tie")))</f>
        <v/>
      </c>
      <c r="J124" s="19" t="n">
        <f aca="false">IF(Setup!$C$13=0,"",INT(118/((Setup!$C$13+1)/2)))</f>
        <v>29</v>
      </c>
      <c r="K124" s="19" t="n">
        <f aca="false">IF(Setup!$C$13=0,"",MOD(118,(Setup!$C$13+1)/2))</f>
        <v>2</v>
      </c>
      <c r="L124" s="20" t="b">
        <f aca="false">AND(Setup!$C$13&gt;0,J124&lt;Setup!$C$13)</f>
        <v>0</v>
      </c>
      <c r="M124" s="0" t="str">
        <f aca="false">IF(NOT(L124),"",IF(K124=0,J124,MOD(J124+K124,Setup!$C$13)))</f>
        <v/>
      </c>
      <c r="N124" s="0" t="str">
        <f aca="false">IF(NOT(L124),"",IF(K124=0,Setup!$C$13,MOD(J124-K124+Setup!$C$13,Setup!$C$13)))</f>
        <v/>
      </c>
      <c r="O124" s="20" t="b">
        <f aca="false">AND(L124,OR(M124&gt;=Setup!$C$12,N124&gt;=Setup!$C$12))</f>
        <v>0</v>
      </c>
      <c r="P124" s="19" t="n">
        <f aca="false">IF(AND(L124,NOT(O124),E124&lt;&gt;"",F124&lt;&gt;""),1,0)</f>
        <v>0</v>
      </c>
      <c r="Q124" s="0" t="str">
        <f aca="false">IF(L124,D124&amp;"|"&amp;G124,"")</f>
        <v/>
      </c>
      <c r="R124" s="0" t="str">
        <f aca="false">IF(L124,G124&amp;"|"&amp;D124,"")</f>
        <v/>
      </c>
    </row>
    <row r="125" customFormat="false" ht="15" hidden="false" customHeight="false" outlineLevel="0" collapsed="false">
      <c r="B125" s="16" t="str">
        <f aca="false">IF(L125,J125+1,"")</f>
        <v/>
      </c>
      <c r="C125" s="16" t="str">
        <f aca="false">IF(NOT(L125),"",IF(O125,"Bye",IF(IF(MOD(Setup!$C$12,2)=1,K125,K125+1)&gt;Setup!$C$8,"Next free",IF(MOD(Setup!$C$12,2)=1,K125,K125+1))))</f>
        <v/>
      </c>
      <c r="D125" s="17" t="str">
        <f aca="false">IF(NOT(L125),"",IF(M125&gt;=Setup!$C$12,"Bye",INDEX(Setup!$C$16:$C$31,M125+1)))</f>
        <v/>
      </c>
      <c r="E125" s="18"/>
      <c r="F125" s="18"/>
      <c r="G125" s="17" t="str">
        <f aca="false">IF(NOT(L125),"",IF(N125&gt;=Setup!$C$12,"Bye",INDEX(Setup!$C$16:$C$31,N125+1)))</f>
        <v/>
      </c>
      <c r="H125" s="17" t="str">
        <f aca="false">IF(OR(NOT(L125),O125,E125="",F125=""),"",IF(E125&gt;F125,D125,IF(F125&gt;E125,G125,"Tie")))</f>
        <v/>
      </c>
      <c r="J125" s="19" t="n">
        <f aca="false">IF(Setup!$C$13=0,"",INT(119/((Setup!$C$13+1)/2)))</f>
        <v>29</v>
      </c>
      <c r="K125" s="19" t="n">
        <f aca="false">IF(Setup!$C$13=0,"",MOD(119,(Setup!$C$13+1)/2))</f>
        <v>3</v>
      </c>
      <c r="L125" s="20" t="b">
        <f aca="false">AND(Setup!$C$13&gt;0,J125&lt;Setup!$C$13)</f>
        <v>0</v>
      </c>
      <c r="M125" s="0" t="str">
        <f aca="false">IF(NOT(L125),"",IF(K125=0,J125,MOD(J125+K125,Setup!$C$13)))</f>
        <v/>
      </c>
      <c r="N125" s="0" t="str">
        <f aca="false">IF(NOT(L125),"",IF(K125=0,Setup!$C$13,MOD(J125-K125+Setup!$C$13,Setup!$C$13)))</f>
        <v/>
      </c>
      <c r="O125" s="20" t="b">
        <f aca="false">AND(L125,OR(M125&gt;=Setup!$C$12,N125&gt;=Setup!$C$12))</f>
        <v>0</v>
      </c>
      <c r="P125" s="19" t="n">
        <f aca="false">IF(AND(L125,NOT(O125),E125&lt;&gt;"",F125&lt;&gt;""),1,0)</f>
        <v>0</v>
      </c>
      <c r="Q125" s="0" t="str">
        <f aca="false">IF(L125,D125&amp;"|"&amp;G125,"")</f>
        <v/>
      </c>
      <c r="R125" s="0" t="str">
        <f aca="false">IF(L125,G125&amp;"|"&amp;D125,"")</f>
        <v/>
      </c>
    </row>
  </sheetData>
  <conditionalFormatting sqref="B6:H125">
    <cfRule type="expression" priority="2" aboveAverage="0" equalAverage="0" bottom="0" percent="0" rank="0" text="" dxfId="0">
      <formula>$O6</formula>
    </cfRule>
    <cfRule type="expression" priority="3" aboveAverage="0" equalAverage="0" bottom="0" percent="0" rank="0" text="" dxfId="1">
      <formula>AND($L6,MOD($J6,2)=1)</formula>
    </cfRule>
    <cfRule type="expression" priority="4" aboveAverage="0" equalAverage="0" bottom="0" percent="0" rank="0" text="" dxfId="2">
      <formula>NOT($L6)</formula>
    </cfRule>
  </conditionalFormatting>
  <dataValidations count="1">
    <dataValidation allowBlank="true" errorStyle="stop" operator="between" showDropDown="false" showErrorMessage="false" showInputMessage="false" sqref="E6:F125" type="whole">
      <formula1>0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B3B"/>
    <pageSetUpPr fitToPage="true"/>
  </sheetPr>
  <dimension ref="B2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9"/>
    <col collapsed="false" customWidth="true" hidden="false" outlineLevel="0" max="7" min="5" style="0" width="8"/>
    <col collapsed="false" customWidth="true" hidden="false" outlineLevel="0" max="11" min="8" style="0" width="10"/>
    <col collapsed="false" customWidth="true" hidden="true" outlineLevel="0" max="23" min="13" style="0" width="13"/>
  </cols>
  <sheetData>
    <row r="2" customFormat="false" ht="33.75" hidden="false" customHeight="true" outlineLevel="0" collapsed="false">
      <c r="B2" s="1" t="s">
        <v>60</v>
      </c>
    </row>
    <row r="3" customFormat="false" ht="15" hidden="false" customHeight="false" outlineLevel="0" collapsed="false">
      <c r="B3" s="2" t="s">
        <v>61</v>
      </c>
    </row>
    <row r="4" customFormat="false" ht="1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</row>
    <row r="6" customFormat="false" ht="30" hidden="false" customHeight="true" outlineLevel="0" collapsed="false">
      <c r="B6" s="14" t="s">
        <v>62</v>
      </c>
      <c r="C6" s="14" t="s">
        <v>63</v>
      </c>
      <c r="D6" s="14" t="s">
        <v>64</v>
      </c>
      <c r="E6" s="14" t="s">
        <v>65</v>
      </c>
      <c r="F6" s="14" t="s">
        <v>66</v>
      </c>
      <c r="G6" s="14" t="s">
        <v>67</v>
      </c>
      <c r="H6" s="14" t="s">
        <v>68</v>
      </c>
      <c r="I6" s="14" t="s">
        <v>69</v>
      </c>
      <c r="J6" s="14" t="s">
        <v>70</v>
      </c>
      <c r="K6" s="14" t="s">
        <v>71</v>
      </c>
    </row>
    <row r="7" customFormat="false" ht="15" hidden="false" customHeight="false" outlineLevel="0" collapsed="false">
      <c r="B7" s="16" t="n">
        <f aca="false">IF(W7="","",ROW()-6)</f>
        <v>1</v>
      </c>
      <c r="C7" s="17" t="str">
        <f aca="false">IF(W7="","",INDEX($M$7:$M$22,W7))</f>
        <v>Ben</v>
      </c>
      <c r="D7" s="22" t="n">
        <f aca="false">IF(W7="","",INDEX($N$7:$N$22,W7))</f>
        <v>2</v>
      </c>
      <c r="E7" s="22" t="n">
        <f aca="false">IF(W7="","",INDEX($O$7:$O$22,W7))</f>
        <v>2</v>
      </c>
      <c r="F7" s="22" t="n">
        <f aca="false">IF(W7="","",INDEX($P$7:$P$22,W7))</f>
        <v>0</v>
      </c>
      <c r="G7" s="22" t="n">
        <f aca="false">IF(W7="","",INDEX($Q$7:$Q$22,W7))</f>
        <v>0</v>
      </c>
      <c r="H7" s="22" t="n">
        <f aca="false">IF(W7="","",INDEX($R$7:$R$22,W7))</f>
        <v>12</v>
      </c>
      <c r="I7" s="22" t="n">
        <f aca="false">IF(W7="","",INDEX($S$7:$S$22,W7))</f>
        <v>6</v>
      </c>
      <c r="J7" s="23" t="n">
        <f aca="false">IF(W7="","",INDEX($T$7:$T$22,W7))</f>
        <v>6</v>
      </c>
      <c r="K7" s="24" t="n">
        <f aca="false">IF(W7="","",INDEX($U$7:$U$22,W7))</f>
        <v>2</v>
      </c>
      <c r="M7" s="0" t="str">
        <f aca="false">IF(Setup!$C$16="","",Setup!$C$16)</f>
        <v>Anna</v>
      </c>
      <c r="N7" s="19" t="n">
        <f aca="false">IF(M7="","",SUMIF(Schedule!$D$6:$D$125,M7,Schedule!$P$6:$P$125)+SUMIF(Schedule!$G$6:$G$125,M7,Schedule!$P$6:$P$125))</f>
        <v>2</v>
      </c>
      <c r="O7" s="19" t="n">
        <f aca="false">IF(M7="","",COUNTIF(Schedule!$H$6:$H$125,M7))</f>
        <v>0</v>
      </c>
      <c r="P7" s="19" t="n">
        <f aca="false">IF(M7="","",COUNTIFS(Schedule!$D$6:$D$125,M7,Schedule!$H$6:$H$125,"Tie")+COUNTIFS(Schedule!$G$6:$G$125,M7,Schedule!$H$6:$H$125,"Tie"))</f>
        <v>1</v>
      </c>
      <c r="Q7" s="19" t="n">
        <f aca="false">IF(M7="","",N7-O7-P7)</f>
        <v>1</v>
      </c>
      <c r="R7" s="19" t="n">
        <f aca="false">IF(M7="","",SUMIFS(Schedule!$E$6:$E$125,Schedule!$D$6:$D$125,M7,Schedule!$P$6:$P$125,1)+SUMIFS(Schedule!$F$6:$F$125,Schedule!$G$6:$G$125,M7,Schedule!$P$6:$P$125,1))</f>
        <v>9</v>
      </c>
      <c r="S7" s="19" t="n">
        <f aca="false">IF(M7="","",SUMIFS(Schedule!$F$6:$F$125,Schedule!$D$6:$D$125,M7,Schedule!$P$6:$P$125,1)+SUMIFS(Schedule!$E$6:$E$125,Schedule!$G$6:$G$125,M7,Schedule!$P$6:$P$125,1))</f>
        <v>11</v>
      </c>
      <c r="T7" s="19" t="n">
        <f aca="false">IF(M7="","",R7-S7)</f>
        <v>-2</v>
      </c>
      <c r="U7" s="19" t="n">
        <f aca="false">IF(M7="","",O7*Setup!$C$9+P7*Setup!$C$10)</f>
        <v>0.5</v>
      </c>
      <c r="V7" s="19" t="n">
        <f aca="false">IF(M7="","",U7*1000000+(T7+1000)*1000+R7+(100-ROW())/1000)</f>
        <v>1498009.093</v>
      </c>
      <c r="W7" s="19" t="n">
        <f aca="false">IF(ROW()-6&gt;COUNT($V$7:$V$22),"",MATCH(LARGE($V$7:$V$22,ROW()-6),$V$7:$V$22,0))</f>
        <v>2</v>
      </c>
    </row>
    <row r="8" customFormat="false" ht="15" hidden="false" customHeight="false" outlineLevel="0" collapsed="false">
      <c r="B8" s="16" t="n">
        <f aca="false">IF(W8="","",ROW()-6)</f>
        <v>2</v>
      </c>
      <c r="C8" s="17" t="str">
        <f aca="false">IF(W8="","",INDEX($M$7:$M$22,W8))</f>
        <v>Felix</v>
      </c>
      <c r="D8" s="22" t="n">
        <f aca="false">IF(W8="","",INDEX($N$7:$N$22,W8))</f>
        <v>3</v>
      </c>
      <c r="E8" s="22" t="n">
        <f aca="false">IF(W8="","",INDEX($O$7:$O$22,W8))</f>
        <v>2</v>
      </c>
      <c r="F8" s="22" t="n">
        <f aca="false">IF(W8="","",INDEX($P$7:$P$22,W8))</f>
        <v>0</v>
      </c>
      <c r="G8" s="22" t="n">
        <f aca="false">IF(W8="","",INDEX($Q$7:$Q$22,W8))</f>
        <v>1</v>
      </c>
      <c r="H8" s="22" t="n">
        <f aca="false">IF(W8="","",INDEX($R$7:$R$22,W8))</f>
        <v>13</v>
      </c>
      <c r="I8" s="22" t="n">
        <f aca="false">IF(W8="","",INDEX($S$7:$S$22,W8))</f>
        <v>10</v>
      </c>
      <c r="J8" s="23" t="n">
        <f aca="false">IF(W8="","",INDEX($T$7:$T$22,W8))</f>
        <v>3</v>
      </c>
      <c r="K8" s="24" t="n">
        <f aca="false">IF(W8="","",INDEX($U$7:$U$22,W8))</f>
        <v>2</v>
      </c>
      <c r="M8" s="0" t="str">
        <f aca="false">IF(Setup!$C$17="","",Setup!$C$17)</f>
        <v>Ben</v>
      </c>
      <c r="N8" s="19" t="n">
        <f aca="false">IF(M8="","",SUMIF(Schedule!$D$6:$D$125,M8,Schedule!$P$6:$P$125)+SUMIF(Schedule!$G$6:$G$125,M8,Schedule!$P$6:$P$125))</f>
        <v>2</v>
      </c>
      <c r="O8" s="19" t="n">
        <f aca="false">IF(M8="","",COUNTIF(Schedule!$H$6:$H$125,M8))</f>
        <v>2</v>
      </c>
      <c r="P8" s="19" t="n">
        <f aca="false">IF(M8="","",COUNTIFS(Schedule!$D$6:$D$125,M8,Schedule!$H$6:$H$125,"Tie")+COUNTIFS(Schedule!$G$6:$G$125,M8,Schedule!$H$6:$H$125,"Tie"))</f>
        <v>0</v>
      </c>
      <c r="Q8" s="19" t="n">
        <f aca="false">IF(M8="","",N8-O8-P8)</f>
        <v>0</v>
      </c>
      <c r="R8" s="19" t="n">
        <f aca="false">IF(M8="","",SUMIFS(Schedule!$E$6:$E$125,Schedule!$D$6:$D$125,M8,Schedule!$P$6:$P$125,1)+SUMIFS(Schedule!$F$6:$F$125,Schedule!$G$6:$G$125,M8,Schedule!$P$6:$P$125,1))</f>
        <v>12</v>
      </c>
      <c r="S8" s="19" t="n">
        <f aca="false">IF(M8="","",SUMIFS(Schedule!$F$6:$F$125,Schedule!$D$6:$D$125,M8,Schedule!$P$6:$P$125,1)+SUMIFS(Schedule!$E$6:$E$125,Schedule!$G$6:$G$125,M8,Schedule!$P$6:$P$125,1))</f>
        <v>6</v>
      </c>
      <c r="T8" s="19" t="n">
        <f aca="false">IF(M8="","",R8-S8)</f>
        <v>6</v>
      </c>
      <c r="U8" s="19" t="n">
        <f aca="false">IF(M8="","",O8*Setup!$C$9+P8*Setup!$C$10)</f>
        <v>2</v>
      </c>
      <c r="V8" s="19" t="n">
        <f aca="false">IF(M8="","",U8*1000000+(T8+1000)*1000+R8+(100-ROW())/1000)</f>
        <v>3006012.092</v>
      </c>
      <c r="W8" s="19" t="n">
        <f aca="false">IF(ROW()-6&gt;COUNT($V$7:$V$22),"",MATCH(LARGE($V$7:$V$22,ROW()-6),$V$7:$V$22,0))</f>
        <v>6</v>
      </c>
    </row>
    <row r="9" customFormat="false" ht="15" hidden="false" customHeight="false" outlineLevel="0" collapsed="false">
      <c r="B9" s="16" t="n">
        <f aca="false">IF(W9="","",ROW()-6)</f>
        <v>3</v>
      </c>
      <c r="C9" s="17" t="str">
        <f aca="false">IF(W9="","",INDEX($M$7:$M$22,W9))</f>
        <v>Elena</v>
      </c>
      <c r="D9" s="22" t="n">
        <f aca="false">IF(W9="","",INDEX($N$7:$N$22,W9))</f>
        <v>3</v>
      </c>
      <c r="E9" s="22" t="n">
        <f aca="false">IF(W9="","",INDEX($O$7:$O$22,W9))</f>
        <v>1</v>
      </c>
      <c r="F9" s="22" t="n">
        <f aca="false">IF(W9="","",INDEX($P$7:$P$22,W9))</f>
        <v>1</v>
      </c>
      <c r="G9" s="22" t="n">
        <f aca="false">IF(W9="","",INDEX($Q$7:$Q$22,W9))</f>
        <v>1</v>
      </c>
      <c r="H9" s="22" t="n">
        <f aca="false">IF(W9="","",INDEX($R$7:$R$22,W9))</f>
        <v>13</v>
      </c>
      <c r="I9" s="22" t="n">
        <f aca="false">IF(W9="","",INDEX($S$7:$S$22,W9))</f>
        <v>12</v>
      </c>
      <c r="J9" s="23" t="n">
        <f aca="false">IF(W9="","",INDEX($T$7:$T$22,W9))</f>
        <v>1</v>
      </c>
      <c r="K9" s="24" t="n">
        <f aca="false">IF(W9="","",INDEX($U$7:$U$22,W9))</f>
        <v>1.5</v>
      </c>
      <c r="M9" s="0" t="str">
        <f aca="false">IF(Setup!$C$18="","",Setup!$C$18)</f>
        <v>Carla</v>
      </c>
      <c r="N9" s="19" t="n">
        <f aca="false">IF(M9="","",SUMIF(Schedule!$D$6:$D$125,M9,Schedule!$P$6:$P$125)+SUMIF(Schedule!$G$6:$G$125,M9,Schedule!$P$6:$P$125))</f>
        <v>2</v>
      </c>
      <c r="O9" s="19" t="n">
        <f aca="false">IF(M9="","",COUNTIF(Schedule!$H$6:$H$125,M9))</f>
        <v>1</v>
      </c>
      <c r="P9" s="19" t="n">
        <f aca="false">IF(M9="","",COUNTIFS(Schedule!$D$6:$D$125,M9,Schedule!$H$6:$H$125,"Tie")+COUNTIFS(Schedule!$G$6:$G$125,M9,Schedule!$H$6:$H$125,"Tie"))</f>
        <v>0</v>
      </c>
      <c r="Q9" s="19" t="n">
        <f aca="false">IF(M9="","",N9-O9-P9)</f>
        <v>1</v>
      </c>
      <c r="R9" s="19" t="n">
        <f aca="false">IF(M9="","",SUMIFS(Schedule!$E$6:$E$125,Schedule!$D$6:$D$125,M9,Schedule!$P$6:$P$125,1)+SUMIFS(Schedule!$F$6:$F$125,Schedule!$G$6:$G$125,M9,Schedule!$P$6:$P$125,1))</f>
        <v>10</v>
      </c>
      <c r="S9" s="19" t="n">
        <f aca="false">IF(M9="","",SUMIFS(Schedule!$F$6:$F$125,Schedule!$D$6:$D$125,M9,Schedule!$P$6:$P$125,1)+SUMIFS(Schedule!$E$6:$E$125,Schedule!$G$6:$G$125,M9,Schedule!$P$6:$P$125,1))</f>
        <v>10</v>
      </c>
      <c r="T9" s="19" t="n">
        <f aca="false">IF(M9="","",R9-S9)</f>
        <v>0</v>
      </c>
      <c r="U9" s="19" t="n">
        <f aca="false">IF(M9="","",O9*Setup!$C$9+P9*Setup!$C$10)</f>
        <v>1</v>
      </c>
      <c r="V9" s="19" t="n">
        <f aca="false">IF(M9="","",U9*1000000+(T9+1000)*1000+R9+(100-ROW())/1000)</f>
        <v>2000010.091</v>
      </c>
      <c r="W9" s="19" t="n">
        <f aca="false">IF(ROW()-6&gt;COUNT($V$7:$V$22),"",MATCH(LARGE($V$7:$V$22,ROW()-6),$V$7:$V$22,0))</f>
        <v>5</v>
      </c>
    </row>
    <row r="10" customFormat="false" ht="15" hidden="false" customHeight="false" outlineLevel="0" collapsed="false">
      <c r="B10" s="16" t="n">
        <f aca="false">IF(W10="","",ROW()-6)</f>
        <v>4</v>
      </c>
      <c r="C10" s="17" t="str">
        <f aca="false">IF(W10="","",INDEX($M$7:$M$22,W10))</f>
        <v>David</v>
      </c>
      <c r="D10" s="22" t="n">
        <f aca="false">IF(W10="","",INDEX($N$7:$N$22,W10))</f>
        <v>3</v>
      </c>
      <c r="E10" s="22" t="n">
        <f aca="false">IF(W10="","",INDEX($O$7:$O$22,W10))</f>
        <v>1</v>
      </c>
      <c r="F10" s="22" t="n">
        <f aca="false">IF(W10="","",INDEX($P$7:$P$22,W10))</f>
        <v>0</v>
      </c>
      <c r="G10" s="22" t="n">
        <f aca="false">IF(W10="","",INDEX($Q$7:$Q$22,W10))</f>
        <v>2</v>
      </c>
      <c r="H10" s="22" t="n">
        <f aca="false">IF(W10="","",INDEX($R$7:$R$22,W10))</f>
        <v>14</v>
      </c>
      <c r="I10" s="22" t="n">
        <f aca="false">IF(W10="","",INDEX($S$7:$S$22,W10))</f>
        <v>14</v>
      </c>
      <c r="J10" s="23" t="n">
        <f aca="false">IF(W10="","",INDEX($T$7:$T$22,W10))</f>
        <v>0</v>
      </c>
      <c r="K10" s="24" t="n">
        <f aca="false">IF(W10="","",INDEX($U$7:$U$22,W10))</f>
        <v>1</v>
      </c>
      <c r="M10" s="0" t="str">
        <f aca="false">IF(Setup!$C$19="","",Setup!$C$19)</f>
        <v>David</v>
      </c>
      <c r="N10" s="19" t="n">
        <f aca="false">IF(M10="","",SUMIF(Schedule!$D$6:$D$125,M10,Schedule!$P$6:$P$125)+SUMIF(Schedule!$G$6:$G$125,M10,Schedule!$P$6:$P$125))</f>
        <v>3</v>
      </c>
      <c r="O10" s="19" t="n">
        <f aca="false">IF(M10="","",COUNTIF(Schedule!$H$6:$H$125,M10))</f>
        <v>1</v>
      </c>
      <c r="P10" s="19" t="n">
        <f aca="false">IF(M10="","",COUNTIFS(Schedule!$D$6:$D$125,M10,Schedule!$H$6:$H$125,"Tie")+COUNTIFS(Schedule!$G$6:$G$125,M10,Schedule!$H$6:$H$125,"Tie"))</f>
        <v>0</v>
      </c>
      <c r="Q10" s="19" t="n">
        <f aca="false">IF(M10="","",N10-O10-P10)</f>
        <v>2</v>
      </c>
      <c r="R10" s="19" t="n">
        <f aca="false">IF(M10="","",SUMIFS(Schedule!$E$6:$E$125,Schedule!$D$6:$D$125,M10,Schedule!$P$6:$P$125,1)+SUMIFS(Schedule!$F$6:$F$125,Schedule!$G$6:$G$125,M10,Schedule!$P$6:$P$125,1))</f>
        <v>14</v>
      </c>
      <c r="S10" s="19" t="n">
        <f aca="false">IF(M10="","",SUMIFS(Schedule!$F$6:$F$125,Schedule!$D$6:$D$125,M10,Schedule!$P$6:$P$125,1)+SUMIFS(Schedule!$E$6:$E$125,Schedule!$G$6:$G$125,M10,Schedule!$P$6:$P$125,1))</f>
        <v>14</v>
      </c>
      <c r="T10" s="19" t="n">
        <f aca="false">IF(M10="","",R10-S10)</f>
        <v>0</v>
      </c>
      <c r="U10" s="19" t="n">
        <f aca="false">IF(M10="","",O10*Setup!$C$9+P10*Setup!$C$10)</f>
        <v>1</v>
      </c>
      <c r="V10" s="19" t="n">
        <f aca="false">IF(M10="","",U10*1000000+(T10+1000)*1000+R10+(100-ROW())/1000)</f>
        <v>2000014.09</v>
      </c>
      <c r="W10" s="19" t="n">
        <f aca="false">IF(ROW()-6&gt;COUNT($V$7:$V$22),"",MATCH(LARGE($V$7:$V$22,ROW()-6),$V$7:$V$22,0))</f>
        <v>4</v>
      </c>
    </row>
    <row r="11" customFormat="false" ht="15" hidden="false" customHeight="false" outlineLevel="0" collapsed="false">
      <c r="B11" s="16" t="n">
        <f aca="false">IF(W11="","",ROW()-6)</f>
        <v>5</v>
      </c>
      <c r="C11" s="17" t="str">
        <f aca="false">IF(W11="","",INDEX($M$7:$M$22,W11))</f>
        <v>Carla</v>
      </c>
      <c r="D11" s="22" t="n">
        <f aca="false">IF(W11="","",INDEX($N$7:$N$22,W11))</f>
        <v>2</v>
      </c>
      <c r="E11" s="22" t="n">
        <f aca="false">IF(W11="","",INDEX($O$7:$O$22,W11))</f>
        <v>1</v>
      </c>
      <c r="F11" s="22" t="n">
        <f aca="false">IF(W11="","",INDEX($P$7:$P$22,W11))</f>
        <v>0</v>
      </c>
      <c r="G11" s="22" t="n">
        <f aca="false">IF(W11="","",INDEX($Q$7:$Q$22,W11))</f>
        <v>1</v>
      </c>
      <c r="H11" s="22" t="n">
        <f aca="false">IF(W11="","",INDEX($R$7:$R$22,W11))</f>
        <v>10</v>
      </c>
      <c r="I11" s="22" t="n">
        <f aca="false">IF(W11="","",INDEX($S$7:$S$22,W11))</f>
        <v>10</v>
      </c>
      <c r="J11" s="23" t="n">
        <f aca="false">IF(W11="","",INDEX($T$7:$T$22,W11))</f>
        <v>0</v>
      </c>
      <c r="K11" s="24" t="n">
        <f aca="false">IF(W11="","",INDEX($U$7:$U$22,W11))</f>
        <v>1</v>
      </c>
      <c r="M11" s="0" t="str">
        <f aca="false">IF(Setup!$C$20="","",Setup!$C$20)</f>
        <v>Elena</v>
      </c>
      <c r="N11" s="19" t="n">
        <f aca="false">IF(M11="","",SUMIF(Schedule!$D$6:$D$125,M11,Schedule!$P$6:$P$125)+SUMIF(Schedule!$G$6:$G$125,M11,Schedule!$P$6:$P$125))</f>
        <v>3</v>
      </c>
      <c r="O11" s="19" t="n">
        <f aca="false">IF(M11="","",COUNTIF(Schedule!$H$6:$H$125,M11))</f>
        <v>1</v>
      </c>
      <c r="P11" s="19" t="n">
        <f aca="false">IF(M11="","",COUNTIFS(Schedule!$D$6:$D$125,M11,Schedule!$H$6:$H$125,"Tie")+COUNTIFS(Schedule!$G$6:$G$125,M11,Schedule!$H$6:$H$125,"Tie"))</f>
        <v>1</v>
      </c>
      <c r="Q11" s="19" t="n">
        <f aca="false">IF(M11="","",N11-O11-P11)</f>
        <v>1</v>
      </c>
      <c r="R11" s="19" t="n">
        <f aca="false">IF(M11="","",SUMIFS(Schedule!$E$6:$E$125,Schedule!$D$6:$D$125,M11,Schedule!$P$6:$P$125,1)+SUMIFS(Schedule!$F$6:$F$125,Schedule!$G$6:$G$125,M11,Schedule!$P$6:$P$125,1))</f>
        <v>13</v>
      </c>
      <c r="S11" s="19" t="n">
        <f aca="false">IF(M11="","",SUMIFS(Schedule!$F$6:$F$125,Schedule!$D$6:$D$125,M11,Schedule!$P$6:$P$125,1)+SUMIFS(Schedule!$E$6:$E$125,Schedule!$G$6:$G$125,M11,Schedule!$P$6:$P$125,1))</f>
        <v>12</v>
      </c>
      <c r="T11" s="19" t="n">
        <f aca="false">IF(M11="","",R11-S11)</f>
        <v>1</v>
      </c>
      <c r="U11" s="19" t="n">
        <f aca="false">IF(M11="","",O11*Setup!$C$9+P11*Setup!$C$10)</f>
        <v>1.5</v>
      </c>
      <c r="V11" s="19" t="n">
        <f aca="false">IF(M11="","",U11*1000000+(T11+1000)*1000+R11+(100-ROW())/1000)</f>
        <v>2501013.089</v>
      </c>
      <c r="W11" s="19" t="n">
        <f aca="false">IF(ROW()-6&gt;COUNT($V$7:$V$22),"",MATCH(LARGE($V$7:$V$22,ROW()-6),$V$7:$V$22,0))</f>
        <v>3</v>
      </c>
    </row>
    <row r="12" customFormat="false" ht="15" hidden="false" customHeight="false" outlineLevel="0" collapsed="false">
      <c r="B12" s="16" t="n">
        <f aca="false">IF(W12="","",ROW()-6)</f>
        <v>6</v>
      </c>
      <c r="C12" s="17" t="str">
        <f aca="false">IF(W12="","",INDEX($M$7:$M$22,W12))</f>
        <v>Grace</v>
      </c>
      <c r="D12" s="22" t="n">
        <f aca="false">IF(W12="","",INDEX($N$7:$N$22,W12))</f>
        <v>3</v>
      </c>
      <c r="E12" s="22" t="n">
        <f aca="false">IF(W12="","",INDEX($O$7:$O$22,W12))</f>
        <v>1</v>
      </c>
      <c r="F12" s="22" t="n">
        <f aca="false">IF(W12="","",INDEX($P$7:$P$22,W12))</f>
        <v>0</v>
      </c>
      <c r="G12" s="22" t="n">
        <f aca="false">IF(W12="","",INDEX($Q$7:$Q$22,W12))</f>
        <v>2</v>
      </c>
      <c r="H12" s="22" t="n">
        <f aca="false">IF(W12="","",INDEX($R$7:$R$22,W12))</f>
        <v>9</v>
      </c>
      <c r="I12" s="22" t="n">
        <f aca="false">IF(W12="","",INDEX($S$7:$S$22,W12))</f>
        <v>17</v>
      </c>
      <c r="J12" s="23" t="n">
        <f aca="false">IF(W12="","",INDEX($T$7:$T$22,W12))</f>
        <v>-8</v>
      </c>
      <c r="K12" s="24" t="n">
        <f aca="false">IF(W12="","",INDEX($U$7:$U$22,W12))</f>
        <v>1</v>
      </c>
      <c r="M12" s="0" t="str">
        <f aca="false">IF(Setup!$C$21="","",Setup!$C$21)</f>
        <v>Felix</v>
      </c>
      <c r="N12" s="19" t="n">
        <f aca="false">IF(M12="","",SUMIF(Schedule!$D$6:$D$125,M12,Schedule!$P$6:$P$125)+SUMIF(Schedule!$G$6:$G$125,M12,Schedule!$P$6:$P$125))</f>
        <v>3</v>
      </c>
      <c r="O12" s="19" t="n">
        <f aca="false">IF(M12="","",COUNTIF(Schedule!$H$6:$H$125,M12))</f>
        <v>2</v>
      </c>
      <c r="P12" s="19" t="n">
        <f aca="false">IF(M12="","",COUNTIFS(Schedule!$D$6:$D$125,M12,Schedule!$H$6:$H$125,"Tie")+COUNTIFS(Schedule!$G$6:$G$125,M12,Schedule!$H$6:$H$125,"Tie"))</f>
        <v>0</v>
      </c>
      <c r="Q12" s="19" t="n">
        <f aca="false">IF(M12="","",N12-O12-P12)</f>
        <v>1</v>
      </c>
      <c r="R12" s="19" t="n">
        <f aca="false">IF(M12="","",SUMIFS(Schedule!$E$6:$E$125,Schedule!$D$6:$D$125,M12,Schedule!$P$6:$P$125,1)+SUMIFS(Schedule!$F$6:$F$125,Schedule!$G$6:$G$125,M12,Schedule!$P$6:$P$125,1))</f>
        <v>13</v>
      </c>
      <c r="S12" s="19" t="n">
        <f aca="false">IF(M12="","",SUMIFS(Schedule!$F$6:$F$125,Schedule!$D$6:$D$125,M12,Schedule!$P$6:$P$125,1)+SUMIFS(Schedule!$E$6:$E$125,Schedule!$G$6:$G$125,M12,Schedule!$P$6:$P$125,1))</f>
        <v>10</v>
      </c>
      <c r="T12" s="19" t="n">
        <f aca="false">IF(M12="","",R12-S12)</f>
        <v>3</v>
      </c>
      <c r="U12" s="19" t="n">
        <f aca="false">IF(M12="","",O12*Setup!$C$9+P12*Setup!$C$10)</f>
        <v>2</v>
      </c>
      <c r="V12" s="19" t="n">
        <f aca="false">IF(M12="","",U12*1000000+(T12+1000)*1000+R12+(100-ROW())/1000)</f>
        <v>3003013.088</v>
      </c>
      <c r="W12" s="19" t="n">
        <f aca="false">IF(ROW()-6&gt;COUNT($V$7:$V$22),"",MATCH(LARGE($V$7:$V$22,ROW()-6),$V$7:$V$22,0))</f>
        <v>7</v>
      </c>
    </row>
    <row r="13" customFormat="false" ht="15" hidden="false" customHeight="false" outlineLevel="0" collapsed="false">
      <c r="B13" s="16" t="n">
        <f aca="false">IF(W13="","",ROW()-6)</f>
        <v>7</v>
      </c>
      <c r="C13" s="17" t="str">
        <f aca="false">IF(W13="","",INDEX($M$7:$M$22,W13))</f>
        <v>Anna</v>
      </c>
      <c r="D13" s="22" t="n">
        <f aca="false">IF(W13="","",INDEX($N$7:$N$22,W13))</f>
        <v>2</v>
      </c>
      <c r="E13" s="22" t="n">
        <f aca="false">IF(W13="","",INDEX($O$7:$O$22,W13))</f>
        <v>0</v>
      </c>
      <c r="F13" s="22" t="n">
        <f aca="false">IF(W13="","",INDEX($P$7:$P$22,W13))</f>
        <v>1</v>
      </c>
      <c r="G13" s="22" t="n">
        <f aca="false">IF(W13="","",INDEX($Q$7:$Q$22,W13))</f>
        <v>1</v>
      </c>
      <c r="H13" s="22" t="n">
        <f aca="false">IF(W13="","",INDEX($R$7:$R$22,W13))</f>
        <v>9</v>
      </c>
      <c r="I13" s="22" t="n">
        <f aca="false">IF(W13="","",INDEX($S$7:$S$22,W13))</f>
        <v>11</v>
      </c>
      <c r="J13" s="23" t="n">
        <f aca="false">IF(W13="","",INDEX($T$7:$T$22,W13))</f>
        <v>-2</v>
      </c>
      <c r="K13" s="24" t="n">
        <f aca="false">IF(W13="","",INDEX($U$7:$U$22,W13))</f>
        <v>0.5</v>
      </c>
      <c r="M13" s="0" t="str">
        <f aca="false">IF(Setup!$C$22="","",Setup!$C$22)</f>
        <v>Grace</v>
      </c>
      <c r="N13" s="19" t="n">
        <f aca="false">IF(M13="","",SUMIF(Schedule!$D$6:$D$125,M13,Schedule!$P$6:$P$125)+SUMIF(Schedule!$G$6:$G$125,M13,Schedule!$P$6:$P$125))</f>
        <v>3</v>
      </c>
      <c r="O13" s="19" t="n">
        <f aca="false">IF(M13="","",COUNTIF(Schedule!$H$6:$H$125,M13))</f>
        <v>1</v>
      </c>
      <c r="P13" s="19" t="n">
        <f aca="false">IF(M13="","",COUNTIFS(Schedule!$D$6:$D$125,M13,Schedule!$H$6:$H$125,"Tie")+COUNTIFS(Schedule!$G$6:$G$125,M13,Schedule!$H$6:$H$125,"Tie"))</f>
        <v>0</v>
      </c>
      <c r="Q13" s="19" t="n">
        <f aca="false">IF(M13="","",N13-O13-P13)</f>
        <v>2</v>
      </c>
      <c r="R13" s="19" t="n">
        <f aca="false">IF(M13="","",SUMIFS(Schedule!$E$6:$E$125,Schedule!$D$6:$D$125,M13,Schedule!$P$6:$P$125,1)+SUMIFS(Schedule!$F$6:$F$125,Schedule!$G$6:$G$125,M13,Schedule!$P$6:$P$125,1))</f>
        <v>9</v>
      </c>
      <c r="S13" s="19" t="n">
        <f aca="false">IF(M13="","",SUMIFS(Schedule!$F$6:$F$125,Schedule!$D$6:$D$125,M13,Schedule!$P$6:$P$125,1)+SUMIFS(Schedule!$E$6:$E$125,Schedule!$G$6:$G$125,M13,Schedule!$P$6:$P$125,1))</f>
        <v>17</v>
      </c>
      <c r="T13" s="19" t="n">
        <f aca="false">IF(M13="","",R13-S13)</f>
        <v>-8</v>
      </c>
      <c r="U13" s="19" t="n">
        <f aca="false">IF(M13="","",O13*Setup!$C$9+P13*Setup!$C$10)</f>
        <v>1</v>
      </c>
      <c r="V13" s="19" t="n">
        <f aca="false">IF(M13="","",U13*1000000+(T13+1000)*1000+R13+(100-ROW())/1000)</f>
        <v>1992009.087</v>
      </c>
      <c r="W13" s="19" t="n">
        <f aca="false">IF(ROW()-6&gt;COUNT($V$7:$V$22),"",MATCH(LARGE($V$7:$V$22,ROW()-6),$V$7:$V$22,0))</f>
        <v>1</v>
      </c>
    </row>
    <row r="14" customFormat="false" ht="15" hidden="false" customHeight="false" outlineLevel="0" collapsed="false">
      <c r="B14" s="16" t="str">
        <f aca="false">IF(W14="","",ROW()-6)</f>
        <v/>
      </c>
      <c r="C14" s="17" t="str">
        <f aca="false">IF(W14="","",INDEX($M$7:$M$22,W14))</f>
        <v/>
      </c>
      <c r="D14" s="22" t="str">
        <f aca="false">IF(W14="","",INDEX($N$7:$N$22,W14))</f>
        <v/>
      </c>
      <c r="E14" s="22" t="str">
        <f aca="false">IF(W14="","",INDEX($O$7:$O$22,W14))</f>
        <v/>
      </c>
      <c r="F14" s="22" t="str">
        <f aca="false">IF(W14="","",INDEX($P$7:$P$22,W14))</f>
        <v/>
      </c>
      <c r="G14" s="22" t="str">
        <f aca="false">IF(W14="","",INDEX($Q$7:$Q$22,W14))</f>
        <v/>
      </c>
      <c r="H14" s="22" t="str">
        <f aca="false">IF(W14="","",INDEX($R$7:$R$22,W14))</f>
        <v/>
      </c>
      <c r="I14" s="22" t="str">
        <f aca="false">IF(W14="","",INDEX($S$7:$S$22,W14))</f>
        <v/>
      </c>
      <c r="J14" s="23" t="str">
        <f aca="false">IF(W14="","",INDEX($T$7:$T$22,W14))</f>
        <v/>
      </c>
      <c r="K14" s="24" t="str">
        <f aca="false">IF(W14="","",INDEX($U$7:$U$22,W14))</f>
        <v/>
      </c>
      <c r="M14" s="0" t="str">
        <f aca="false">IF(Setup!$C$23="","",Setup!$C$23)</f>
        <v/>
      </c>
      <c r="N14" s="0" t="str">
        <f aca="false">IF(M14="","",SUMIF(Schedule!$D$6:$D$125,M14,Schedule!$P$6:$P$125)+SUMIF(Schedule!$G$6:$G$125,M14,Schedule!$P$6:$P$125))</f>
        <v/>
      </c>
      <c r="O14" s="0" t="str">
        <f aca="false">IF(M14="","",COUNTIF(Schedule!$H$6:$H$125,M14))</f>
        <v/>
      </c>
      <c r="P14" s="0" t="str">
        <f aca="false">IF(M14="","",COUNTIFS(Schedule!$D$6:$D$125,M14,Schedule!$H$6:$H$125,"Tie")+COUNTIFS(Schedule!$G$6:$G$125,M14,Schedule!$H$6:$H$125,"Tie"))</f>
        <v/>
      </c>
      <c r="Q14" s="0" t="str">
        <f aca="false">IF(M14="","",N14-O14-P14)</f>
        <v/>
      </c>
      <c r="R14" s="0" t="str">
        <f aca="false">IF(M14="","",SUMIFS(Schedule!$E$6:$E$125,Schedule!$D$6:$D$125,M14,Schedule!$P$6:$P$125,1)+SUMIFS(Schedule!$F$6:$F$125,Schedule!$G$6:$G$125,M14,Schedule!$P$6:$P$125,1))</f>
        <v/>
      </c>
      <c r="S14" s="0" t="str">
        <f aca="false">IF(M14="","",SUMIFS(Schedule!$F$6:$F$125,Schedule!$D$6:$D$125,M14,Schedule!$P$6:$P$125,1)+SUMIFS(Schedule!$E$6:$E$125,Schedule!$G$6:$G$125,M14,Schedule!$P$6:$P$125,1))</f>
        <v/>
      </c>
      <c r="T14" s="0" t="str">
        <f aca="false">IF(M14="","",R14-S14)</f>
        <v/>
      </c>
      <c r="U14" s="0" t="str">
        <f aca="false">IF(M14="","",O14*Setup!$C$9+P14*Setup!$C$10)</f>
        <v/>
      </c>
      <c r="V14" s="0" t="str">
        <f aca="false">IF(M14="","",U14*1000000+(T14+1000)*1000+R14+(100-ROW())/1000)</f>
        <v/>
      </c>
      <c r="W14" s="0" t="str">
        <f aca="false">IF(ROW()-6&gt;COUNT($V$7:$V$22),"",MATCH(LARGE($V$7:$V$22,ROW()-6),$V$7:$V$22,0))</f>
        <v/>
      </c>
    </row>
    <row r="15" customFormat="false" ht="15" hidden="false" customHeight="false" outlineLevel="0" collapsed="false">
      <c r="B15" s="16" t="str">
        <f aca="false">IF(W15="","",ROW()-6)</f>
        <v/>
      </c>
      <c r="C15" s="17" t="str">
        <f aca="false">IF(W15="","",INDEX($M$7:$M$22,W15))</f>
        <v/>
      </c>
      <c r="D15" s="22" t="str">
        <f aca="false">IF(W15="","",INDEX($N$7:$N$22,W15))</f>
        <v/>
      </c>
      <c r="E15" s="22" t="str">
        <f aca="false">IF(W15="","",INDEX($O$7:$O$22,W15))</f>
        <v/>
      </c>
      <c r="F15" s="22" t="str">
        <f aca="false">IF(W15="","",INDEX($P$7:$P$22,W15))</f>
        <v/>
      </c>
      <c r="G15" s="22" t="str">
        <f aca="false">IF(W15="","",INDEX($Q$7:$Q$22,W15))</f>
        <v/>
      </c>
      <c r="H15" s="22" t="str">
        <f aca="false">IF(W15="","",INDEX($R$7:$R$22,W15))</f>
        <v/>
      </c>
      <c r="I15" s="22" t="str">
        <f aca="false">IF(W15="","",INDEX($S$7:$S$22,W15))</f>
        <v/>
      </c>
      <c r="J15" s="23" t="str">
        <f aca="false">IF(W15="","",INDEX($T$7:$T$22,W15))</f>
        <v/>
      </c>
      <c r="K15" s="24" t="str">
        <f aca="false">IF(W15="","",INDEX($U$7:$U$22,W15))</f>
        <v/>
      </c>
      <c r="M15" s="0" t="str">
        <f aca="false">IF(Setup!$C$24="","",Setup!$C$24)</f>
        <v/>
      </c>
      <c r="N15" s="0" t="str">
        <f aca="false">IF(M15="","",SUMIF(Schedule!$D$6:$D$125,M15,Schedule!$P$6:$P$125)+SUMIF(Schedule!$G$6:$G$125,M15,Schedule!$P$6:$P$125))</f>
        <v/>
      </c>
      <c r="O15" s="0" t="str">
        <f aca="false">IF(M15="","",COUNTIF(Schedule!$H$6:$H$125,M15))</f>
        <v/>
      </c>
      <c r="P15" s="0" t="str">
        <f aca="false">IF(M15="","",COUNTIFS(Schedule!$D$6:$D$125,M15,Schedule!$H$6:$H$125,"Tie")+COUNTIFS(Schedule!$G$6:$G$125,M15,Schedule!$H$6:$H$125,"Tie"))</f>
        <v/>
      </c>
      <c r="Q15" s="0" t="str">
        <f aca="false">IF(M15="","",N15-O15-P15)</f>
        <v/>
      </c>
      <c r="R15" s="0" t="str">
        <f aca="false">IF(M15="","",SUMIFS(Schedule!$E$6:$E$125,Schedule!$D$6:$D$125,M15,Schedule!$P$6:$P$125,1)+SUMIFS(Schedule!$F$6:$F$125,Schedule!$G$6:$G$125,M15,Schedule!$P$6:$P$125,1))</f>
        <v/>
      </c>
      <c r="S15" s="0" t="str">
        <f aca="false">IF(M15="","",SUMIFS(Schedule!$F$6:$F$125,Schedule!$D$6:$D$125,M15,Schedule!$P$6:$P$125,1)+SUMIFS(Schedule!$E$6:$E$125,Schedule!$G$6:$G$125,M15,Schedule!$P$6:$P$125,1))</f>
        <v/>
      </c>
      <c r="T15" s="0" t="str">
        <f aca="false">IF(M15="","",R15-S15)</f>
        <v/>
      </c>
      <c r="U15" s="0" t="str">
        <f aca="false">IF(M15="","",O15*Setup!$C$9+P15*Setup!$C$10)</f>
        <v/>
      </c>
      <c r="V15" s="0" t="str">
        <f aca="false">IF(M15="","",U15*1000000+(T15+1000)*1000+R15+(100-ROW())/1000)</f>
        <v/>
      </c>
      <c r="W15" s="0" t="str">
        <f aca="false">IF(ROW()-6&gt;COUNT($V$7:$V$22),"",MATCH(LARGE($V$7:$V$22,ROW()-6),$V$7:$V$22,0))</f>
        <v/>
      </c>
    </row>
    <row r="16" customFormat="false" ht="15" hidden="false" customHeight="false" outlineLevel="0" collapsed="false">
      <c r="B16" s="16" t="str">
        <f aca="false">IF(W16="","",ROW()-6)</f>
        <v/>
      </c>
      <c r="C16" s="17" t="str">
        <f aca="false">IF(W16="","",INDEX($M$7:$M$22,W16))</f>
        <v/>
      </c>
      <c r="D16" s="22" t="str">
        <f aca="false">IF(W16="","",INDEX($N$7:$N$22,W16))</f>
        <v/>
      </c>
      <c r="E16" s="22" t="str">
        <f aca="false">IF(W16="","",INDEX($O$7:$O$22,W16))</f>
        <v/>
      </c>
      <c r="F16" s="22" t="str">
        <f aca="false">IF(W16="","",INDEX($P$7:$P$22,W16))</f>
        <v/>
      </c>
      <c r="G16" s="22" t="str">
        <f aca="false">IF(W16="","",INDEX($Q$7:$Q$22,W16))</f>
        <v/>
      </c>
      <c r="H16" s="22" t="str">
        <f aca="false">IF(W16="","",INDEX($R$7:$R$22,W16))</f>
        <v/>
      </c>
      <c r="I16" s="22" t="str">
        <f aca="false">IF(W16="","",INDEX($S$7:$S$22,W16))</f>
        <v/>
      </c>
      <c r="J16" s="23" t="str">
        <f aca="false">IF(W16="","",INDEX($T$7:$T$22,W16))</f>
        <v/>
      </c>
      <c r="K16" s="24" t="str">
        <f aca="false">IF(W16="","",INDEX($U$7:$U$22,W16))</f>
        <v/>
      </c>
      <c r="M16" s="0" t="str">
        <f aca="false">IF(Setup!$C$25="","",Setup!$C$25)</f>
        <v/>
      </c>
      <c r="N16" s="0" t="str">
        <f aca="false">IF(M16="","",SUMIF(Schedule!$D$6:$D$125,M16,Schedule!$P$6:$P$125)+SUMIF(Schedule!$G$6:$G$125,M16,Schedule!$P$6:$P$125))</f>
        <v/>
      </c>
      <c r="O16" s="0" t="str">
        <f aca="false">IF(M16="","",COUNTIF(Schedule!$H$6:$H$125,M16))</f>
        <v/>
      </c>
      <c r="P16" s="0" t="str">
        <f aca="false">IF(M16="","",COUNTIFS(Schedule!$D$6:$D$125,M16,Schedule!$H$6:$H$125,"Tie")+COUNTIFS(Schedule!$G$6:$G$125,M16,Schedule!$H$6:$H$125,"Tie"))</f>
        <v/>
      </c>
      <c r="Q16" s="0" t="str">
        <f aca="false">IF(M16="","",N16-O16-P16)</f>
        <v/>
      </c>
      <c r="R16" s="0" t="str">
        <f aca="false">IF(M16="","",SUMIFS(Schedule!$E$6:$E$125,Schedule!$D$6:$D$125,M16,Schedule!$P$6:$P$125,1)+SUMIFS(Schedule!$F$6:$F$125,Schedule!$G$6:$G$125,M16,Schedule!$P$6:$P$125,1))</f>
        <v/>
      </c>
      <c r="S16" s="0" t="str">
        <f aca="false">IF(M16="","",SUMIFS(Schedule!$F$6:$F$125,Schedule!$D$6:$D$125,M16,Schedule!$P$6:$P$125,1)+SUMIFS(Schedule!$E$6:$E$125,Schedule!$G$6:$G$125,M16,Schedule!$P$6:$P$125,1))</f>
        <v/>
      </c>
      <c r="T16" s="0" t="str">
        <f aca="false">IF(M16="","",R16-S16)</f>
        <v/>
      </c>
      <c r="U16" s="0" t="str">
        <f aca="false">IF(M16="","",O16*Setup!$C$9+P16*Setup!$C$10)</f>
        <v/>
      </c>
      <c r="V16" s="0" t="str">
        <f aca="false">IF(M16="","",U16*1000000+(T16+1000)*1000+R16+(100-ROW())/1000)</f>
        <v/>
      </c>
      <c r="W16" s="0" t="str">
        <f aca="false">IF(ROW()-6&gt;COUNT($V$7:$V$22),"",MATCH(LARGE($V$7:$V$22,ROW()-6),$V$7:$V$22,0))</f>
        <v/>
      </c>
    </row>
    <row r="17" customFormat="false" ht="15" hidden="false" customHeight="false" outlineLevel="0" collapsed="false">
      <c r="B17" s="16" t="str">
        <f aca="false">IF(W17="","",ROW()-6)</f>
        <v/>
      </c>
      <c r="C17" s="17" t="str">
        <f aca="false">IF(W17="","",INDEX($M$7:$M$22,W17))</f>
        <v/>
      </c>
      <c r="D17" s="22" t="str">
        <f aca="false">IF(W17="","",INDEX($N$7:$N$22,W17))</f>
        <v/>
      </c>
      <c r="E17" s="22" t="str">
        <f aca="false">IF(W17="","",INDEX($O$7:$O$22,W17))</f>
        <v/>
      </c>
      <c r="F17" s="22" t="str">
        <f aca="false">IF(W17="","",INDEX($P$7:$P$22,W17))</f>
        <v/>
      </c>
      <c r="G17" s="22" t="str">
        <f aca="false">IF(W17="","",INDEX($Q$7:$Q$22,W17))</f>
        <v/>
      </c>
      <c r="H17" s="22" t="str">
        <f aca="false">IF(W17="","",INDEX($R$7:$R$22,W17))</f>
        <v/>
      </c>
      <c r="I17" s="22" t="str">
        <f aca="false">IF(W17="","",INDEX($S$7:$S$22,W17))</f>
        <v/>
      </c>
      <c r="J17" s="23" t="str">
        <f aca="false">IF(W17="","",INDEX($T$7:$T$22,W17))</f>
        <v/>
      </c>
      <c r="K17" s="24" t="str">
        <f aca="false">IF(W17="","",INDEX($U$7:$U$22,W17))</f>
        <v/>
      </c>
      <c r="M17" s="0" t="str">
        <f aca="false">IF(Setup!$C$26="","",Setup!$C$26)</f>
        <v/>
      </c>
      <c r="N17" s="0" t="str">
        <f aca="false">IF(M17="","",SUMIF(Schedule!$D$6:$D$125,M17,Schedule!$P$6:$P$125)+SUMIF(Schedule!$G$6:$G$125,M17,Schedule!$P$6:$P$125))</f>
        <v/>
      </c>
      <c r="O17" s="0" t="str">
        <f aca="false">IF(M17="","",COUNTIF(Schedule!$H$6:$H$125,M17))</f>
        <v/>
      </c>
      <c r="P17" s="0" t="str">
        <f aca="false">IF(M17="","",COUNTIFS(Schedule!$D$6:$D$125,M17,Schedule!$H$6:$H$125,"Tie")+COUNTIFS(Schedule!$G$6:$G$125,M17,Schedule!$H$6:$H$125,"Tie"))</f>
        <v/>
      </c>
      <c r="Q17" s="0" t="str">
        <f aca="false">IF(M17="","",N17-O17-P17)</f>
        <v/>
      </c>
      <c r="R17" s="0" t="str">
        <f aca="false">IF(M17="","",SUMIFS(Schedule!$E$6:$E$125,Schedule!$D$6:$D$125,M17,Schedule!$P$6:$P$125,1)+SUMIFS(Schedule!$F$6:$F$125,Schedule!$G$6:$G$125,M17,Schedule!$P$6:$P$125,1))</f>
        <v/>
      </c>
      <c r="S17" s="0" t="str">
        <f aca="false">IF(M17="","",SUMIFS(Schedule!$F$6:$F$125,Schedule!$D$6:$D$125,M17,Schedule!$P$6:$P$125,1)+SUMIFS(Schedule!$E$6:$E$125,Schedule!$G$6:$G$125,M17,Schedule!$P$6:$P$125,1))</f>
        <v/>
      </c>
      <c r="T17" s="0" t="str">
        <f aca="false">IF(M17="","",R17-S17)</f>
        <v/>
      </c>
      <c r="U17" s="0" t="str">
        <f aca="false">IF(M17="","",O17*Setup!$C$9+P17*Setup!$C$10)</f>
        <v/>
      </c>
      <c r="V17" s="0" t="str">
        <f aca="false">IF(M17="","",U17*1000000+(T17+1000)*1000+R17+(100-ROW())/1000)</f>
        <v/>
      </c>
      <c r="W17" s="0" t="str">
        <f aca="false">IF(ROW()-6&gt;COUNT($V$7:$V$22),"",MATCH(LARGE($V$7:$V$22,ROW()-6),$V$7:$V$22,0))</f>
        <v/>
      </c>
    </row>
    <row r="18" customFormat="false" ht="15" hidden="false" customHeight="false" outlineLevel="0" collapsed="false">
      <c r="B18" s="16" t="str">
        <f aca="false">IF(W18="","",ROW()-6)</f>
        <v/>
      </c>
      <c r="C18" s="17" t="str">
        <f aca="false">IF(W18="","",INDEX($M$7:$M$22,W18))</f>
        <v/>
      </c>
      <c r="D18" s="22" t="str">
        <f aca="false">IF(W18="","",INDEX($N$7:$N$22,W18))</f>
        <v/>
      </c>
      <c r="E18" s="22" t="str">
        <f aca="false">IF(W18="","",INDEX($O$7:$O$22,W18))</f>
        <v/>
      </c>
      <c r="F18" s="22" t="str">
        <f aca="false">IF(W18="","",INDEX($P$7:$P$22,W18))</f>
        <v/>
      </c>
      <c r="G18" s="22" t="str">
        <f aca="false">IF(W18="","",INDEX($Q$7:$Q$22,W18))</f>
        <v/>
      </c>
      <c r="H18" s="22" t="str">
        <f aca="false">IF(W18="","",INDEX($R$7:$R$22,W18))</f>
        <v/>
      </c>
      <c r="I18" s="22" t="str">
        <f aca="false">IF(W18="","",INDEX($S$7:$S$22,W18))</f>
        <v/>
      </c>
      <c r="J18" s="23" t="str">
        <f aca="false">IF(W18="","",INDEX($T$7:$T$22,W18))</f>
        <v/>
      </c>
      <c r="K18" s="24" t="str">
        <f aca="false">IF(W18="","",INDEX($U$7:$U$22,W18))</f>
        <v/>
      </c>
      <c r="M18" s="0" t="str">
        <f aca="false">IF(Setup!$C$27="","",Setup!$C$27)</f>
        <v/>
      </c>
      <c r="N18" s="0" t="str">
        <f aca="false">IF(M18="","",SUMIF(Schedule!$D$6:$D$125,M18,Schedule!$P$6:$P$125)+SUMIF(Schedule!$G$6:$G$125,M18,Schedule!$P$6:$P$125))</f>
        <v/>
      </c>
      <c r="O18" s="0" t="str">
        <f aca="false">IF(M18="","",COUNTIF(Schedule!$H$6:$H$125,M18))</f>
        <v/>
      </c>
      <c r="P18" s="0" t="str">
        <f aca="false">IF(M18="","",COUNTIFS(Schedule!$D$6:$D$125,M18,Schedule!$H$6:$H$125,"Tie")+COUNTIFS(Schedule!$G$6:$G$125,M18,Schedule!$H$6:$H$125,"Tie"))</f>
        <v/>
      </c>
      <c r="Q18" s="0" t="str">
        <f aca="false">IF(M18="","",N18-O18-P18)</f>
        <v/>
      </c>
      <c r="R18" s="0" t="str">
        <f aca="false">IF(M18="","",SUMIFS(Schedule!$E$6:$E$125,Schedule!$D$6:$D$125,M18,Schedule!$P$6:$P$125,1)+SUMIFS(Schedule!$F$6:$F$125,Schedule!$G$6:$G$125,M18,Schedule!$P$6:$P$125,1))</f>
        <v/>
      </c>
      <c r="S18" s="0" t="str">
        <f aca="false">IF(M18="","",SUMIFS(Schedule!$F$6:$F$125,Schedule!$D$6:$D$125,M18,Schedule!$P$6:$P$125,1)+SUMIFS(Schedule!$E$6:$E$125,Schedule!$G$6:$G$125,M18,Schedule!$P$6:$P$125,1))</f>
        <v/>
      </c>
      <c r="T18" s="0" t="str">
        <f aca="false">IF(M18="","",R18-S18)</f>
        <v/>
      </c>
      <c r="U18" s="0" t="str">
        <f aca="false">IF(M18="","",O18*Setup!$C$9+P18*Setup!$C$10)</f>
        <v/>
      </c>
      <c r="V18" s="0" t="str">
        <f aca="false">IF(M18="","",U18*1000000+(T18+1000)*1000+R18+(100-ROW())/1000)</f>
        <v/>
      </c>
      <c r="W18" s="0" t="str">
        <f aca="false">IF(ROW()-6&gt;COUNT($V$7:$V$22),"",MATCH(LARGE($V$7:$V$22,ROW()-6),$V$7:$V$22,0))</f>
        <v/>
      </c>
    </row>
    <row r="19" customFormat="false" ht="15" hidden="false" customHeight="false" outlineLevel="0" collapsed="false">
      <c r="B19" s="16" t="str">
        <f aca="false">IF(W19="","",ROW()-6)</f>
        <v/>
      </c>
      <c r="C19" s="17" t="str">
        <f aca="false">IF(W19="","",INDEX($M$7:$M$22,W19))</f>
        <v/>
      </c>
      <c r="D19" s="22" t="str">
        <f aca="false">IF(W19="","",INDEX($N$7:$N$22,W19))</f>
        <v/>
      </c>
      <c r="E19" s="22" t="str">
        <f aca="false">IF(W19="","",INDEX($O$7:$O$22,W19))</f>
        <v/>
      </c>
      <c r="F19" s="22" t="str">
        <f aca="false">IF(W19="","",INDEX($P$7:$P$22,W19))</f>
        <v/>
      </c>
      <c r="G19" s="22" t="str">
        <f aca="false">IF(W19="","",INDEX($Q$7:$Q$22,W19))</f>
        <v/>
      </c>
      <c r="H19" s="22" t="str">
        <f aca="false">IF(W19="","",INDEX($R$7:$R$22,W19))</f>
        <v/>
      </c>
      <c r="I19" s="22" t="str">
        <f aca="false">IF(W19="","",INDEX($S$7:$S$22,W19))</f>
        <v/>
      </c>
      <c r="J19" s="23" t="str">
        <f aca="false">IF(W19="","",INDEX($T$7:$T$22,W19))</f>
        <v/>
      </c>
      <c r="K19" s="24" t="str">
        <f aca="false">IF(W19="","",INDEX($U$7:$U$22,W19))</f>
        <v/>
      </c>
      <c r="M19" s="0" t="str">
        <f aca="false">IF(Setup!$C$28="","",Setup!$C$28)</f>
        <v/>
      </c>
      <c r="N19" s="0" t="str">
        <f aca="false">IF(M19="","",SUMIF(Schedule!$D$6:$D$125,M19,Schedule!$P$6:$P$125)+SUMIF(Schedule!$G$6:$G$125,M19,Schedule!$P$6:$P$125))</f>
        <v/>
      </c>
      <c r="O19" s="0" t="str">
        <f aca="false">IF(M19="","",COUNTIF(Schedule!$H$6:$H$125,M19))</f>
        <v/>
      </c>
      <c r="P19" s="0" t="str">
        <f aca="false">IF(M19="","",COUNTIFS(Schedule!$D$6:$D$125,M19,Schedule!$H$6:$H$125,"Tie")+COUNTIFS(Schedule!$G$6:$G$125,M19,Schedule!$H$6:$H$125,"Tie"))</f>
        <v/>
      </c>
      <c r="Q19" s="0" t="str">
        <f aca="false">IF(M19="","",N19-O19-P19)</f>
        <v/>
      </c>
      <c r="R19" s="0" t="str">
        <f aca="false">IF(M19="","",SUMIFS(Schedule!$E$6:$E$125,Schedule!$D$6:$D$125,M19,Schedule!$P$6:$P$125,1)+SUMIFS(Schedule!$F$6:$F$125,Schedule!$G$6:$G$125,M19,Schedule!$P$6:$P$125,1))</f>
        <v/>
      </c>
      <c r="S19" s="0" t="str">
        <f aca="false">IF(M19="","",SUMIFS(Schedule!$F$6:$F$125,Schedule!$D$6:$D$125,M19,Schedule!$P$6:$P$125,1)+SUMIFS(Schedule!$E$6:$E$125,Schedule!$G$6:$G$125,M19,Schedule!$P$6:$P$125,1))</f>
        <v/>
      </c>
      <c r="T19" s="0" t="str">
        <f aca="false">IF(M19="","",R19-S19)</f>
        <v/>
      </c>
      <c r="U19" s="0" t="str">
        <f aca="false">IF(M19="","",O19*Setup!$C$9+P19*Setup!$C$10)</f>
        <v/>
      </c>
      <c r="V19" s="0" t="str">
        <f aca="false">IF(M19="","",U19*1000000+(T19+1000)*1000+R19+(100-ROW())/1000)</f>
        <v/>
      </c>
      <c r="W19" s="0" t="str">
        <f aca="false">IF(ROW()-6&gt;COUNT($V$7:$V$22),"",MATCH(LARGE($V$7:$V$22,ROW()-6),$V$7:$V$22,0))</f>
        <v/>
      </c>
    </row>
    <row r="20" customFormat="false" ht="15" hidden="false" customHeight="false" outlineLevel="0" collapsed="false">
      <c r="B20" s="16" t="str">
        <f aca="false">IF(W20="","",ROW()-6)</f>
        <v/>
      </c>
      <c r="C20" s="17" t="str">
        <f aca="false">IF(W20="","",INDEX($M$7:$M$22,W20))</f>
        <v/>
      </c>
      <c r="D20" s="22" t="str">
        <f aca="false">IF(W20="","",INDEX($N$7:$N$22,W20))</f>
        <v/>
      </c>
      <c r="E20" s="22" t="str">
        <f aca="false">IF(W20="","",INDEX($O$7:$O$22,W20))</f>
        <v/>
      </c>
      <c r="F20" s="22" t="str">
        <f aca="false">IF(W20="","",INDEX($P$7:$P$22,W20))</f>
        <v/>
      </c>
      <c r="G20" s="22" t="str">
        <f aca="false">IF(W20="","",INDEX($Q$7:$Q$22,W20))</f>
        <v/>
      </c>
      <c r="H20" s="22" t="str">
        <f aca="false">IF(W20="","",INDEX($R$7:$R$22,W20))</f>
        <v/>
      </c>
      <c r="I20" s="22" t="str">
        <f aca="false">IF(W20="","",INDEX($S$7:$S$22,W20))</f>
        <v/>
      </c>
      <c r="J20" s="23" t="str">
        <f aca="false">IF(W20="","",INDEX($T$7:$T$22,W20))</f>
        <v/>
      </c>
      <c r="K20" s="24" t="str">
        <f aca="false">IF(W20="","",INDEX($U$7:$U$22,W20))</f>
        <v/>
      </c>
      <c r="M20" s="0" t="str">
        <f aca="false">IF(Setup!$C$29="","",Setup!$C$29)</f>
        <v/>
      </c>
      <c r="N20" s="0" t="str">
        <f aca="false">IF(M20="","",SUMIF(Schedule!$D$6:$D$125,M20,Schedule!$P$6:$P$125)+SUMIF(Schedule!$G$6:$G$125,M20,Schedule!$P$6:$P$125))</f>
        <v/>
      </c>
      <c r="O20" s="0" t="str">
        <f aca="false">IF(M20="","",COUNTIF(Schedule!$H$6:$H$125,M20))</f>
        <v/>
      </c>
      <c r="P20" s="0" t="str">
        <f aca="false">IF(M20="","",COUNTIFS(Schedule!$D$6:$D$125,M20,Schedule!$H$6:$H$125,"Tie")+COUNTIFS(Schedule!$G$6:$G$125,M20,Schedule!$H$6:$H$125,"Tie"))</f>
        <v/>
      </c>
      <c r="Q20" s="0" t="str">
        <f aca="false">IF(M20="","",N20-O20-P20)</f>
        <v/>
      </c>
      <c r="R20" s="0" t="str">
        <f aca="false">IF(M20="","",SUMIFS(Schedule!$E$6:$E$125,Schedule!$D$6:$D$125,M20,Schedule!$P$6:$P$125,1)+SUMIFS(Schedule!$F$6:$F$125,Schedule!$G$6:$G$125,M20,Schedule!$P$6:$P$125,1))</f>
        <v/>
      </c>
      <c r="S20" s="0" t="str">
        <f aca="false">IF(M20="","",SUMIFS(Schedule!$F$6:$F$125,Schedule!$D$6:$D$125,M20,Schedule!$P$6:$P$125,1)+SUMIFS(Schedule!$E$6:$E$125,Schedule!$G$6:$G$125,M20,Schedule!$P$6:$P$125,1))</f>
        <v/>
      </c>
      <c r="T20" s="0" t="str">
        <f aca="false">IF(M20="","",R20-S20)</f>
        <v/>
      </c>
      <c r="U20" s="0" t="str">
        <f aca="false">IF(M20="","",O20*Setup!$C$9+P20*Setup!$C$10)</f>
        <v/>
      </c>
      <c r="V20" s="0" t="str">
        <f aca="false">IF(M20="","",U20*1000000+(T20+1000)*1000+R20+(100-ROW())/1000)</f>
        <v/>
      </c>
      <c r="W20" s="0" t="str">
        <f aca="false">IF(ROW()-6&gt;COUNT($V$7:$V$22),"",MATCH(LARGE($V$7:$V$22,ROW()-6),$V$7:$V$22,0))</f>
        <v/>
      </c>
    </row>
    <row r="21" customFormat="false" ht="15" hidden="false" customHeight="false" outlineLevel="0" collapsed="false">
      <c r="B21" s="16" t="str">
        <f aca="false">IF(W21="","",ROW()-6)</f>
        <v/>
      </c>
      <c r="C21" s="17" t="str">
        <f aca="false">IF(W21="","",INDEX($M$7:$M$22,W21))</f>
        <v/>
      </c>
      <c r="D21" s="22" t="str">
        <f aca="false">IF(W21="","",INDEX($N$7:$N$22,W21))</f>
        <v/>
      </c>
      <c r="E21" s="22" t="str">
        <f aca="false">IF(W21="","",INDEX($O$7:$O$22,W21))</f>
        <v/>
      </c>
      <c r="F21" s="22" t="str">
        <f aca="false">IF(W21="","",INDEX($P$7:$P$22,W21))</f>
        <v/>
      </c>
      <c r="G21" s="22" t="str">
        <f aca="false">IF(W21="","",INDEX($Q$7:$Q$22,W21))</f>
        <v/>
      </c>
      <c r="H21" s="22" t="str">
        <f aca="false">IF(W21="","",INDEX($R$7:$R$22,W21))</f>
        <v/>
      </c>
      <c r="I21" s="22" t="str">
        <f aca="false">IF(W21="","",INDEX($S$7:$S$22,W21))</f>
        <v/>
      </c>
      <c r="J21" s="23" t="str">
        <f aca="false">IF(W21="","",INDEX($T$7:$T$22,W21))</f>
        <v/>
      </c>
      <c r="K21" s="24" t="str">
        <f aca="false">IF(W21="","",INDEX($U$7:$U$22,W21))</f>
        <v/>
      </c>
      <c r="M21" s="0" t="str">
        <f aca="false">IF(Setup!$C$30="","",Setup!$C$30)</f>
        <v/>
      </c>
      <c r="N21" s="0" t="str">
        <f aca="false">IF(M21="","",SUMIF(Schedule!$D$6:$D$125,M21,Schedule!$P$6:$P$125)+SUMIF(Schedule!$G$6:$G$125,M21,Schedule!$P$6:$P$125))</f>
        <v/>
      </c>
      <c r="O21" s="0" t="str">
        <f aca="false">IF(M21="","",COUNTIF(Schedule!$H$6:$H$125,M21))</f>
        <v/>
      </c>
      <c r="P21" s="0" t="str">
        <f aca="false">IF(M21="","",COUNTIFS(Schedule!$D$6:$D$125,M21,Schedule!$H$6:$H$125,"Tie")+COUNTIFS(Schedule!$G$6:$G$125,M21,Schedule!$H$6:$H$125,"Tie"))</f>
        <v/>
      </c>
      <c r="Q21" s="0" t="str">
        <f aca="false">IF(M21="","",N21-O21-P21)</f>
        <v/>
      </c>
      <c r="R21" s="0" t="str">
        <f aca="false">IF(M21="","",SUMIFS(Schedule!$E$6:$E$125,Schedule!$D$6:$D$125,M21,Schedule!$P$6:$P$125,1)+SUMIFS(Schedule!$F$6:$F$125,Schedule!$G$6:$G$125,M21,Schedule!$P$6:$P$125,1))</f>
        <v/>
      </c>
      <c r="S21" s="0" t="str">
        <f aca="false">IF(M21="","",SUMIFS(Schedule!$F$6:$F$125,Schedule!$D$6:$D$125,M21,Schedule!$P$6:$P$125,1)+SUMIFS(Schedule!$E$6:$E$125,Schedule!$G$6:$G$125,M21,Schedule!$P$6:$P$125,1))</f>
        <v/>
      </c>
      <c r="T21" s="0" t="str">
        <f aca="false">IF(M21="","",R21-S21)</f>
        <v/>
      </c>
      <c r="U21" s="0" t="str">
        <f aca="false">IF(M21="","",O21*Setup!$C$9+P21*Setup!$C$10)</f>
        <v/>
      </c>
      <c r="V21" s="0" t="str">
        <f aca="false">IF(M21="","",U21*1000000+(T21+1000)*1000+R21+(100-ROW())/1000)</f>
        <v/>
      </c>
      <c r="W21" s="0" t="str">
        <f aca="false">IF(ROW()-6&gt;COUNT($V$7:$V$22),"",MATCH(LARGE($V$7:$V$22,ROW()-6),$V$7:$V$22,0))</f>
        <v/>
      </c>
    </row>
    <row r="22" customFormat="false" ht="15" hidden="false" customHeight="false" outlineLevel="0" collapsed="false">
      <c r="B22" s="16" t="str">
        <f aca="false">IF(W22="","",ROW()-6)</f>
        <v/>
      </c>
      <c r="C22" s="17" t="str">
        <f aca="false">IF(W22="","",INDEX($M$7:$M$22,W22))</f>
        <v/>
      </c>
      <c r="D22" s="22" t="str">
        <f aca="false">IF(W22="","",INDEX($N$7:$N$22,W22))</f>
        <v/>
      </c>
      <c r="E22" s="22" t="str">
        <f aca="false">IF(W22="","",INDEX($O$7:$O$22,W22))</f>
        <v/>
      </c>
      <c r="F22" s="22" t="str">
        <f aca="false">IF(W22="","",INDEX($P$7:$P$22,W22))</f>
        <v/>
      </c>
      <c r="G22" s="22" t="str">
        <f aca="false">IF(W22="","",INDEX($Q$7:$Q$22,W22))</f>
        <v/>
      </c>
      <c r="H22" s="22" t="str">
        <f aca="false">IF(W22="","",INDEX($R$7:$R$22,W22))</f>
        <v/>
      </c>
      <c r="I22" s="22" t="str">
        <f aca="false">IF(W22="","",INDEX($S$7:$S$22,W22))</f>
        <v/>
      </c>
      <c r="J22" s="23" t="str">
        <f aca="false">IF(W22="","",INDEX($T$7:$T$22,W22))</f>
        <v/>
      </c>
      <c r="K22" s="24" t="str">
        <f aca="false">IF(W22="","",INDEX($U$7:$U$22,W22))</f>
        <v/>
      </c>
      <c r="M22" s="0" t="str">
        <f aca="false">IF(Setup!$C$31="","",Setup!$C$31)</f>
        <v/>
      </c>
      <c r="N22" s="0" t="str">
        <f aca="false">IF(M22="","",SUMIF(Schedule!$D$6:$D$125,M22,Schedule!$P$6:$P$125)+SUMIF(Schedule!$G$6:$G$125,M22,Schedule!$P$6:$P$125))</f>
        <v/>
      </c>
      <c r="O22" s="0" t="str">
        <f aca="false">IF(M22="","",COUNTIF(Schedule!$H$6:$H$125,M22))</f>
        <v/>
      </c>
      <c r="P22" s="0" t="str">
        <f aca="false">IF(M22="","",COUNTIFS(Schedule!$D$6:$D$125,M22,Schedule!$H$6:$H$125,"Tie")+COUNTIFS(Schedule!$G$6:$G$125,M22,Schedule!$H$6:$H$125,"Tie"))</f>
        <v/>
      </c>
      <c r="Q22" s="0" t="str">
        <f aca="false">IF(M22="","",N22-O22-P22)</f>
        <v/>
      </c>
      <c r="R22" s="0" t="str">
        <f aca="false">IF(M22="","",SUMIFS(Schedule!$E$6:$E$125,Schedule!$D$6:$D$125,M22,Schedule!$P$6:$P$125,1)+SUMIFS(Schedule!$F$6:$F$125,Schedule!$G$6:$G$125,M22,Schedule!$P$6:$P$125,1))</f>
        <v/>
      </c>
      <c r="S22" s="0" t="str">
        <f aca="false">IF(M22="","",SUMIFS(Schedule!$F$6:$F$125,Schedule!$D$6:$D$125,M22,Schedule!$P$6:$P$125,1)+SUMIFS(Schedule!$E$6:$E$125,Schedule!$G$6:$G$125,M22,Schedule!$P$6:$P$125,1))</f>
        <v/>
      </c>
      <c r="T22" s="0" t="str">
        <f aca="false">IF(M22="","",R22-S22)</f>
        <v/>
      </c>
      <c r="U22" s="0" t="str">
        <f aca="false">IF(M22="","",O22*Setup!$C$9+P22*Setup!$C$10)</f>
        <v/>
      </c>
      <c r="V22" s="0" t="str">
        <f aca="false">IF(M22="","",U22*1000000+(T22+1000)*1000+R22+(100-ROW())/1000)</f>
        <v/>
      </c>
      <c r="W22" s="0" t="str">
        <f aca="false">IF(ROW()-6&gt;COUNT($V$7:$V$22),"",MATCH(LARGE($V$7:$V$22,ROW()-6),$V$7:$V$22,0))</f>
        <v/>
      </c>
    </row>
  </sheetData>
  <conditionalFormatting sqref="B7:K9">
    <cfRule type="expression" priority="2" aboveAverage="0" equalAverage="0" bottom="0" percent="0" rank="0" text="" dxfId="3">
      <formula>$B7&lt;&gt;""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2D"/>
    <pageSetUpPr fitToPage="true"/>
  </sheetPr>
  <dimension ref="B2:R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18" min="3" style="0" width="9"/>
  </cols>
  <sheetData>
    <row r="2" customFormat="false" ht="33.75" hidden="false" customHeight="true" outlineLevel="0" collapsed="false">
      <c r="B2" s="1" t="s">
        <v>72</v>
      </c>
    </row>
    <row r="3" customFormat="false" ht="15" hidden="false" customHeight="false" outlineLevel="0" collapsed="false">
      <c r="B3" s="2" t="s">
        <v>73</v>
      </c>
    </row>
    <row r="4" customFormat="false" ht="1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7" customFormat="false" ht="63.75" hidden="false" customHeight="true" outlineLevel="0" collapsed="false">
      <c r="B7" s="25" t="s">
        <v>74</v>
      </c>
      <c r="C7" s="26" t="str">
        <f aca="false">IF(Setup!$C$16="","",Setup!$C$16)</f>
        <v>Anna</v>
      </c>
      <c r="D7" s="26" t="str">
        <f aca="false">IF(Setup!$C$17="","",Setup!$C$17)</f>
        <v>Ben</v>
      </c>
      <c r="E7" s="26" t="str">
        <f aca="false">IF(Setup!$C$18="","",Setup!$C$18)</f>
        <v>Carla</v>
      </c>
      <c r="F7" s="26" t="str">
        <f aca="false">IF(Setup!$C$19="","",Setup!$C$19)</f>
        <v>David</v>
      </c>
      <c r="G7" s="26" t="str">
        <f aca="false">IF(Setup!$C$20="","",Setup!$C$20)</f>
        <v>Elena</v>
      </c>
      <c r="H7" s="26" t="str">
        <f aca="false">IF(Setup!$C$21="","",Setup!$C$21)</f>
        <v>Felix</v>
      </c>
      <c r="I7" s="26" t="str">
        <f aca="false">IF(Setup!$C$22="","",Setup!$C$22)</f>
        <v>Grace</v>
      </c>
      <c r="J7" s="26" t="str">
        <f aca="false">IF(Setup!$C$23="","",Setup!$C$23)</f>
        <v/>
      </c>
      <c r="K7" s="26" t="str">
        <f aca="false">IF(Setup!$C$24="","",Setup!$C$24)</f>
        <v/>
      </c>
      <c r="L7" s="26" t="str">
        <f aca="false">IF(Setup!$C$25="","",Setup!$C$25)</f>
        <v/>
      </c>
      <c r="M7" s="26" t="str">
        <f aca="false">IF(Setup!$C$26="","",Setup!$C$26)</f>
        <v/>
      </c>
      <c r="N7" s="26" t="str">
        <f aca="false">IF(Setup!$C$27="","",Setup!$C$27)</f>
        <v/>
      </c>
      <c r="O7" s="26" t="str">
        <f aca="false">IF(Setup!$C$28="","",Setup!$C$28)</f>
        <v/>
      </c>
      <c r="P7" s="26" t="str">
        <f aca="false">IF(Setup!$C$29="","",Setup!$C$29)</f>
        <v/>
      </c>
      <c r="Q7" s="26" t="str">
        <f aca="false">IF(Setup!$C$30="","",Setup!$C$30)</f>
        <v/>
      </c>
      <c r="R7" s="26" t="str">
        <f aca="false">IF(Setup!$C$31="","",Setup!$C$31)</f>
        <v/>
      </c>
    </row>
    <row r="8" customFormat="false" ht="15" hidden="false" customHeight="false" outlineLevel="0" collapsed="false">
      <c r="B8" s="27" t="str">
        <f aca="false">IF(Setup!$C$16="","",Setup!$C$16)</f>
        <v>Anna</v>
      </c>
      <c r="C8" s="16" t="str">
        <f aca="false">IF(OR($B8="",C$7=""),"",IF($B8=C$7,"—",IFERROR(IF(INDEX(Schedule!$P$6:$P$125,MATCH($B8&amp;"|"&amp;C$7,Schedule!$Q$6:$Q$125,0))=1,INDEX(Schedule!$E$6:$E$125,MATCH($B8&amp;"|"&amp;C$7,Schedule!$Q$6:$Q$125,0))&amp;"–"&amp;INDEX(Schedule!$F$6:$F$125,MATCH($B8&amp;"|"&amp;C$7,Schedule!$Q$6:$Q$125,0)),""),IFERROR(IF(INDEX(Schedule!$P$6:$P$125,MATCH($B8&amp;"|"&amp;C$7,Schedule!$R$6:$R$125,0))=1,INDEX(Schedule!$F$6:$F$125,MATCH($B8&amp;"|"&amp;C$7,Schedule!$R$6:$R$125,0))&amp;"–"&amp;INDEX(Schedule!$E$6:$E$125,MATCH($B8&amp;"|"&amp;C$7,Schedule!$R$6:$R$125,0)),""),""))))</f>
        <v>—</v>
      </c>
      <c r="D8" s="16" t="str">
        <f aca="false">IF(OR($B8="",D$7=""),"",IF($B8=D$7,"—",IFERROR(IF(INDEX(Schedule!$P$6:$P$125,MATCH($B8&amp;"|"&amp;D$7,Schedule!$Q$6:$Q$125,0))=1,INDEX(Schedule!$E$6:$E$125,MATCH($B8&amp;"|"&amp;D$7,Schedule!$Q$6:$Q$125,0))&amp;"–"&amp;INDEX(Schedule!$F$6:$F$125,MATCH($B8&amp;"|"&amp;D$7,Schedule!$Q$6:$Q$125,0)),""),IFERROR(IF(INDEX(Schedule!$P$6:$P$125,MATCH($B8&amp;"|"&amp;D$7,Schedule!$R$6:$R$125,0))=1,INDEX(Schedule!$F$6:$F$125,MATCH($B8&amp;"|"&amp;D$7,Schedule!$R$6:$R$125,0))&amp;"–"&amp;INDEX(Schedule!$E$6:$E$125,MATCH($B8&amp;"|"&amp;D$7,Schedule!$R$6:$R$125,0)),""),""))))</f>
        <v/>
      </c>
      <c r="E8" s="16" t="str">
        <f aca="false">IF(OR($B8="",E$7=""),"",IF($B8=E$7,"—",IFERROR(IF(INDEX(Schedule!$P$6:$P$125,MATCH($B8&amp;"|"&amp;E$7,Schedule!$Q$6:$Q$125,0))=1,INDEX(Schedule!$E$6:$E$125,MATCH($B8&amp;"|"&amp;E$7,Schedule!$Q$6:$Q$125,0))&amp;"–"&amp;INDEX(Schedule!$F$6:$F$125,MATCH($B8&amp;"|"&amp;E$7,Schedule!$Q$6:$Q$125,0)),""),IFERROR(IF(INDEX(Schedule!$P$6:$P$125,MATCH($B8&amp;"|"&amp;E$7,Schedule!$R$6:$R$125,0))=1,INDEX(Schedule!$F$6:$F$125,MATCH($B8&amp;"|"&amp;E$7,Schedule!$R$6:$R$125,0))&amp;"–"&amp;INDEX(Schedule!$E$6:$E$125,MATCH($B8&amp;"|"&amp;E$7,Schedule!$R$6:$R$125,0)),""),""))))</f>
        <v>4–6</v>
      </c>
      <c r="F8" s="16" t="str">
        <f aca="false">IF(OR($B8="",F$7=""),"",IF($B8=F$7,"—",IFERROR(IF(INDEX(Schedule!$P$6:$P$125,MATCH($B8&amp;"|"&amp;F$7,Schedule!$Q$6:$Q$125,0))=1,INDEX(Schedule!$E$6:$E$125,MATCH($B8&amp;"|"&amp;F$7,Schedule!$Q$6:$Q$125,0))&amp;"–"&amp;INDEX(Schedule!$F$6:$F$125,MATCH($B8&amp;"|"&amp;F$7,Schedule!$Q$6:$Q$125,0)),""),IFERROR(IF(INDEX(Schedule!$P$6:$P$125,MATCH($B8&amp;"|"&amp;F$7,Schedule!$R$6:$R$125,0))=1,INDEX(Schedule!$F$6:$F$125,MATCH($B8&amp;"|"&amp;F$7,Schedule!$R$6:$R$125,0))&amp;"–"&amp;INDEX(Schedule!$E$6:$E$125,MATCH($B8&amp;"|"&amp;F$7,Schedule!$R$6:$R$125,0)),""),""))))</f>
        <v/>
      </c>
      <c r="G8" s="16" t="str">
        <f aca="false">IF(OR($B8="",G$7=""),"",IF($B8=G$7,"—",IFERROR(IF(INDEX(Schedule!$P$6:$P$125,MATCH($B8&amp;"|"&amp;G$7,Schedule!$Q$6:$Q$125,0))=1,INDEX(Schedule!$E$6:$E$125,MATCH($B8&amp;"|"&amp;G$7,Schedule!$Q$6:$Q$125,0))&amp;"–"&amp;INDEX(Schedule!$F$6:$F$125,MATCH($B8&amp;"|"&amp;G$7,Schedule!$Q$6:$Q$125,0)),""),IFERROR(IF(INDEX(Schedule!$P$6:$P$125,MATCH($B8&amp;"|"&amp;G$7,Schedule!$R$6:$R$125,0))=1,INDEX(Schedule!$F$6:$F$125,MATCH($B8&amp;"|"&amp;G$7,Schedule!$R$6:$R$125,0))&amp;"–"&amp;INDEX(Schedule!$E$6:$E$125,MATCH($B8&amp;"|"&amp;G$7,Schedule!$R$6:$R$125,0)),""),""))))</f>
        <v>5–5</v>
      </c>
      <c r="H8" s="16" t="str">
        <f aca="false">IF(OR($B8="",H$7=""),"",IF($B8=H$7,"—",IFERROR(IF(INDEX(Schedule!$P$6:$P$125,MATCH($B8&amp;"|"&amp;H$7,Schedule!$Q$6:$Q$125,0))=1,INDEX(Schedule!$E$6:$E$125,MATCH($B8&amp;"|"&amp;H$7,Schedule!$Q$6:$Q$125,0))&amp;"–"&amp;INDEX(Schedule!$F$6:$F$125,MATCH($B8&amp;"|"&amp;H$7,Schedule!$Q$6:$Q$125,0)),""),IFERROR(IF(INDEX(Schedule!$P$6:$P$125,MATCH($B8&amp;"|"&amp;H$7,Schedule!$R$6:$R$125,0))=1,INDEX(Schedule!$F$6:$F$125,MATCH($B8&amp;"|"&amp;H$7,Schedule!$R$6:$R$125,0))&amp;"–"&amp;INDEX(Schedule!$E$6:$E$125,MATCH($B8&amp;"|"&amp;H$7,Schedule!$R$6:$R$125,0)),""),""))))</f>
        <v/>
      </c>
      <c r="I8" s="16" t="str">
        <f aca="false">IF(OR($B8="",I$7=""),"",IF($B8=I$7,"—",IFERROR(IF(INDEX(Schedule!$P$6:$P$125,MATCH($B8&amp;"|"&amp;I$7,Schedule!$Q$6:$Q$125,0))=1,INDEX(Schedule!$E$6:$E$125,MATCH($B8&amp;"|"&amp;I$7,Schedule!$Q$6:$Q$125,0))&amp;"–"&amp;INDEX(Schedule!$F$6:$F$125,MATCH($B8&amp;"|"&amp;I$7,Schedule!$Q$6:$Q$125,0)),""),IFERROR(IF(INDEX(Schedule!$P$6:$P$125,MATCH($B8&amp;"|"&amp;I$7,Schedule!$R$6:$R$125,0))=1,INDEX(Schedule!$F$6:$F$125,MATCH($B8&amp;"|"&amp;I$7,Schedule!$R$6:$R$125,0))&amp;"–"&amp;INDEX(Schedule!$E$6:$E$125,MATCH($B8&amp;"|"&amp;I$7,Schedule!$R$6:$R$125,0)),""),""))))</f>
        <v/>
      </c>
      <c r="J8" s="16" t="str">
        <f aca="false">IF(OR($B8="",J$7=""),"",IF($B8=J$7,"—",IFERROR(IF(INDEX(Schedule!$P$6:$P$125,MATCH($B8&amp;"|"&amp;J$7,Schedule!$Q$6:$Q$125,0))=1,INDEX(Schedule!$E$6:$E$125,MATCH($B8&amp;"|"&amp;J$7,Schedule!$Q$6:$Q$125,0))&amp;"–"&amp;INDEX(Schedule!$F$6:$F$125,MATCH($B8&amp;"|"&amp;J$7,Schedule!$Q$6:$Q$125,0)),""),IFERROR(IF(INDEX(Schedule!$P$6:$P$125,MATCH($B8&amp;"|"&amp;J$7,Schedule!$R$6:$R$125,0))=1,INDEX(Schedule!$F$6:$F$125,MATCH($B8&amp;"|"&amp;J$7,Schedule!$R$6:$R$125,0))&amp;"–"&amp;INDEX(Schedule!$E$6:$E$125,MATCH($B8&amp;"|"&amp;J$7,Schedule!$R$6:$R$125,0)),""),""))))</f>
        <v/>
      </c>
      <c r="K8" s="16" t="str">
        <f aca="false">IF(OR($B8="",K$7=""),"",IF($B8=K$7,"—",IFERROR(IF(INDEX(Schedule!$P$6:$P$125,MATCH($B8&amp;"|"&amp;K$7,Schedule!$Q$6:$Q$125,0))=1,INDEX(Schedule!$E$6:$E$125,MATCH($B8&amp;"|"&amp;K$7,Schedule!$Q$6:$Q$125,0))&amp;"–"&amp;INDEX(Schedule!$F$6:$F$125,MATCH($B8&amp;"|"&amp;K$7,Schedule!$Q$6:$Q$125,0)),""),IFERROR(IF(INDEX(Schedule!$P$6:$P$125,MATCH($B8&amp;"|"&amp;K$7,Schedule!$R$6:$R$125,0))=1,INDEX(Schedule!$F$6:$F$125,MATCH($B8&amp;"|"&amp;K$7,Schedule!$R$6:$R$125,0))&amp;"–"&amp;INDEX(Schedule!$E$6:$E$125,MATCH($B8&amp;"|"&amp;K$7,Schedule!$R$6:$R$125,0)),""),""))))</f>
        <v/>
      </c>
      <c r="L8" s="16" t="str">
        <f aca="false">IF(OR($B8="",L$7=""),"",IF($B8=L$7,"—",IFERROR(IF(INDEX(Schedule!$P$6:$P$125,MATCH($B8&amp;"|"&amp;L$7,Schedule!$Q$6:$Q$125,0))=1,INDEX(Schedule!$E$6:$E$125,MATCH($B8&amp;"|"&amp;L$7,Schedule!$Q$6:$Q$125,0))&amp;"–"&amp;INDEX(Schedule!$F$6:$F$125,MATCH($B8&amp;"|"&amp;L$7,Schedule!$Q$6:$Q$125,0)),""),IFERROR(IF(INDEX(Schedule!$P$6:$P$125,MATCH($B8&amp;"|"&amp;L$7,Schedule!$R$6:$R$125,0))=1,INDEX(Schedule!$F$6:$F$125,MATCH($B8&amp;"|"&amp;L$7,Schedule!$R$6:$R$125,0))&amp;"–"&amp;INDEX(Schedule!$E$6:$E$125,MATCH($B8&amp;"|"&amp;L$7,Schedule!$R$6:$R$125,0)),""),""))))</f>
        <v/>
      </c>
      <c r="M8" s="16" t="str">
        <f aca="false">IF(OR($B8="",M$7=""),"",IF($B8=M$7,"—",IFERROR(IF(INDEX(Schedule!$P$6:$P$125,MATCH($B8&amp;"|"&amp;M$7,Schedule!$Q$6:$Q$125,0))=1,INDEX(Schedule!$E$6:$E$125,MATCH($B8&amp;"|"&amp;M$7,Schedule!$Q$6:$Q$125,0))&amp;"–"&amp;INDEX(Schedule!$F$6:$F$125,MATCH($B8&amp;"|"&amp;M$7,Schedule!$Q$6:$Q$125,0)),""),IFERROR(IF(INDEX(Schedule!$P$6:$P$125,MATCH($B8&amp;"|"&amp;M$7,Schedule!$R$6:$R$125,0))=1,INDEX(Schedule!$F$6:$F$125,MATCH($B8&amp;"|"&amp;M$7,Schedule!$R$6:$R$125,0))&amp;"–"&amp;INDEX(Schedule!$E$6:$E$125,MATCH($B8&amp;"|"&amp;M$7,Schedule!$R$6:$R$125,0)),""),""))))</f>
        <v/>
      </c>
      <c r="N8" s="16" t="str">
        <f aca="false">IF(OR($B8="",N$7=""),"",IF($B8=N$7,"—",IFERROR(IF(INDEX(Schedule!$P$6:$P$125,MATCH($B8&amp;"|"&amp;N$7,Schedule!$Q$6:$Q$125,0))=1,INDEX(Schedule!$E$6:$E$125,MATCH($B8&amp;"|"&amp;N$7,Schedule!$Q$6:$Q$125,0))&amp;"–"&amp;INDEX(Schedule!$F$6:$F$125,MATCH($B8&amp;"|"&amp;N$7,Schedule!$Q$6:$Q$125,0)),""),IFERROR(IF(INDEX(Schedule!$P$6:$P$125,MATCH($B8&amp;"|"&amp;N$7,Schedule!$R$6:$R$125,0))=1,INDEX(Schedule!$F$6:$F$125,MATCH($B8&amp;"|"&amp;N$7,Schedule!$R$6:$R$125,0))&amp;"–"&amp;INDEX(Schedule!$E$6:$E$125,MATCH($B8&amp;"|"&amp;N$7,Schedule!$R$6:$R$125,0)),""),""))))</f>
        <v/>
      </c>
      <c r="O8" s="16" t="str">
        <f aca="false">IF(OR($B8="",O$7=""),"",IF($B8=O$7,"—",IFERROR(IF(INDEX(Schedule!$P$6:$P$125,MATCH($B8&amp;"|"&amp;O$7,Schedule!$Q$6:$Q$125,0))=1,INDEX(Schedule!$E$6:$E$125,MATCH($B8&amp;"|"&amp;O$7,Schedule!$Q$6:$Q$125,0))&amp;"–"&amp;INDEX(Schedule!$F$6:$F$125,MATCH($B8&amp;"|"&amp;O$7,Schedule!$Q$6:$Q$125,0)),""),IFERROR(IF(INDEX(Schedule!$P$6:$P$125,MATCH($B8&amp;"|"&amp;O$7,Schedule!$R$6:$R$125,0))=1,INDEX(Schedule!$F$6:$F$125,MATCH($B8&amp;"|"&amp;O$7,Schedule!$R$6:$R$125,0))&amp;"–"&amp;INDEX(Schedule!$E$6:$E$125,MATCH($B8&amp;"|"&amp;O$7,Schedule!$R$6:$R$125,0)),""),""))))</f>
        <v/>
      </c>
      <c r="P8" s="16" t="str">
        <f aca="false">IF(OR($B8="",P$7=""),"",IF($B8=P$7,"—",IFERROR(IF(INDEX(Schedule!$P$6:$P$125,MATCH($B8&amp;"|"&amp;P$7,Schedule!$Q$6:$Q$125,0))=1,INDEX(Schedule!$E$6:$E$125,MATCH($B8&amp;"|"&amp;P$7,Schedule!$Q$6:$Q$125,0))&amp;"–"&amp;INDEX(Schedule!$F$6:$F$125,MATCH($B8&amp;"|"&amp;P$7,Schedule!$Q$6:$Q$125,0)),""),IFERROR(IF(INDEX(Schedule!$P$6:$P$125,MATCH($B8&amp;"|"&amp;P$7,Schedule!$R$6:$R$125,0))=1,INDEX(Schedule!$F$6:$F$125,MATCH($B8&amp;"|"&amp;P$7,Schedule!$R$6:$R$125,0))&amp;"–"&amp;INDEX(Schedule!$E$6:$E$125,MATCH($B8&amp;"|"&amp;P$7,Schedule!$R$6:$R$125,0)),""),""))))</f>
        <v/>
      </c>
      <c r="Q8" s="16" t="str">
        <f aca="false">IF(OR($B8="",Q$7=""),"",IF($B8=Q$7,"—",IFERROR(IF(INDEX(Schedule!$P$6:$P$125,MATCH($B8&amp;"|"&amp;Q$7,Schedule!$Q$6:$Q$125,0))=1,INDEX(Schedule!$E$6:$E$125,MATCH($B8&amp;"|"&amp;Q$7,Schedule!$Q$6:$Q$125,0))&amp;"–"&amp;INDEX(Schedule!$F$6:$F$125,MATCH($B8&amp;"|"&amp;Q$7,Schedule!$Q$6:$Q$125,0)),""),IFERROR(IF(INDEX(Schedule!$P$6:$P$125,MATCH($B8&amp;"|"&amp;Q$7,Schedule!$R$6:$R$125,0))=1,INDEX(Schedule!$F$6:$F$125,MATCH($B8&amp;"|"&amp;Q$7,Schedule!$R$6:$R$125,0))&amp;"–"&amp;INDEX(Schedule!$E$6:$E$125,MATCH($B8&amp;"|"&amp;Q$7,Schedule!$R$6:$R$125,0)),""),""))))</f>
        <v/>
      </c>
      <c r="R8" s="16" t="str">
        <f aca="false">IF(OR($B8="",R$7=""),"",IF($B8=R$7,"—",IFERROR(IF(INDEX(Schedule!$P$6:$P$125,MATCH($B8&amp;"|"&amp;R$7,Schedule!$Q$6:$Q$125,0))=1,INDEX(Schedule!$E$6:$E$125,MATCH($B8&amp;"|"&amp;R$7,Schedule!$Q$6:$Q$125,0))&amp;"–"&amp;INDEX(Schedule!$F$6:$F$125,MATCH($B8&amp;"|"&amp;R$7,Schedule!$Q$6:$Q$125,0)),""),IFERROR(IF(INDEX(Schedule!$P$6:$P$125,MATCH($B8&amp;"|"&amp;R$7,Schedule!$R$6:$R$125,0))=1,INDEX(Schedule!$F$6:$F$125,MATCH($B8&amp;"|"&amp;R$7,Schedule!$R$6:$R$125,0))&amp;"–"&amp;INDEX(Schedule!$E$6:$E$125,MATCH($B8&amp;"|"&amp;R$7,Schedule!$R$6:$R$125,0)),""),""))))</f>
        <v/>
      </c>
    </row>
    <row r="9" customFormat="false" ht="15" hidden="false" customHeight="false" outlineLevel="0" collapsed="false">
      <c r="B9" s="27" t="str">
        <f aca="false">IF(Setup!$C$17="","",Setup!$C$17)</f>
        <v>Ben</v>
      </c>
      <c r="C9" s="16" t="str">
        <f aca="false">IF(OR($B9="",C$7=""),"",IF($B9=C$7,"—",IFERROR(IF(INDEX(Schedule!$P$6:$P$125,MATCH($B9&amp;"|"&amp;C$7,Schedule!$Q$6:$Q$125,0))=1,INDEX(Schedule!$E$6:$E$125,MATCH($B9&amp;"|"&amp;C$7,Schedule!$Q$6:$Q$125,0))&amp;"–"&amp;INDEX(Schedule!$F$6:$F$125,MATCH($B9&amp;"|"&amp;C$7,Schedule!$Q$6:$Q$125,0)),""),IFERROR(IF(INDEX(Schedule!$P$6:$P$125,MATCH($B9&amp;"|"&amp;C$7,Schedule!$R$6:$R$125,0))=1,INDEX(Schedule!$F$6:$F$125,MATCH($B9&amp;"|"&amp;C$7,Schedule!$R$6:$R$125,0))&amp;"–"&amp;INDEX(Schedule!$E$6:$E$125,MATCH($B9&amp;"|"&amp;C$7,Schedule!$R$6:$R$125,0)),""),""))))</f>
        <v/>
      </c>
      <c r="D9" s="16" t="str">
        <f aca="false">IF(OR($B9="",D$7=""),"",IF($B9=D$7,"—",IFERROR(IF(INDEX(Schedule!$P$6:$P$125,MATCH($B9&amp;"|"&amp;D$7,Schedule!$Q$6:$Q$125,0))=1,INDEX(Schedule!$E$6:$E$125,MATCH($B9&amp;"|"&amp;D$7,Schedule!$Q$6:$Q$125,0))&amp;"–"&amp;INDEX(Schedule!$F$6:$F$125,MATCH($B9&amp;"|"&amp;D$7,Schedule!$Q$6:$Q$125,0)),""),IFERROR(IF(INDEX(Schedule!$P$6:$P$125,MATCH($B9&amp;"|"&amp;D$7,Schedule!$R$6:$R$125,0))=1,INDEX(Schedule!$F$6:$F$125,MATCH($B9&amp;"|"&amp;D$7,Schedule!$R$6:$R$125,0))&amp;"–"&amp;INDEX(Schedule!$E$6:$E$125,MATCH($B9&amp;"|"&amp;D$7,Schedule!$R$6:$R$125,0)),""),""))))</f>
        <v>—</v>
      </c>
      <c r="E9" s="16" t="str">
        <f aca="false">IF(OR($B9="",E$7=""),"",IF($B9=E$7,"—",IFERROR(IF(INDEX(Schedule!$P$6:$P$125,MATCH($B9&amp;"|"&amp;E$7,Schedule!$Q$6:$Q$125,0))=1,INDEX(Schedule!$E$6:$E$125,MATCH($B9&amp;"|"&amp;E$7,Schedule!$Q$6:$Q$125,0))&amp;"–"&amp;INDEX(Schedule!$F$6:$F$125,MATCH($B9&amp;"|"&amp;E$7,Schedule!$Q$6:$Q$125,0)),""),IFERROR(IF(INDEX(Schedule!$P$6:$P$125,MATCH($B9&amp;"|"&amp;E$7,Schedule!$R$6:$R$125,0))=1,INDEX(Schedule!$F$6:$F$125,MATCH($B9&amp;"|"&amp;E$7,Schedule!$R$6:$R$125,0))&amp;"–"&amp;INDEX(Schedule!$E$6:$E$125,MATCH($B9&amp;"|"&amp;E$7,Schedule!$R$6:$R$125,0)),""),""))))</f>
        <v/>
      </c>
      <c r="F9" s="16" t="str">
        <f aca="false">IF(OR($B9="",F$7=""),"",IF($B9=F$7,"—",IFERROR(IF(INDEX(Schedule!$P$6:$P$125,MATCH($B9&amp;"|"&amp;F$7,Schedule!$Q$6:$Q$125,0))=1,INDEX(Schedule!$E$6:$E$125,MATCH($B9&amp;"|"&amp;F$7,Schedule!$Q$6:$Q$125,0))&amp;"–"&amp;INDEX(Schedule!$F$6:$F$125,MATCH($B9&amp;"|"&amp;F$7,Schedule!$Q$6:$Q$125,0)),""),IFERROR(IF(INDEX(Schedule!$P$6:$P$125,MATCH($B9&amp;"|"&amp;F$7,Schedule!$R$6:$R$125,0))=1,INDEX(Schedule!$F$6:$F$125,MATCH($B9&amp;"|"&amp;F$7,Schedule!$R$6:$R$125,0))&amp;"–"&amp;INDEX(Schedule!$E$6:$E$125,MATCH($B9&amp;"|"&amp;F$7,Schedule!$R$6:$R$125,0)),""),""))))</f>
        <v>6–3</v>
      </c>
      <c r="G9" s="16" t="str">
        <f aca="false">IF(OR($B9="",G$7=""),"",IF($B9=G$7,"—",IFERROR(IF(INDEX(Schedule!$P$6:$P$125,MATCH($B9&amp;"|"&amp;G$7,Schedule!$Q$6:$Q$125,0))=1,INDEX(Schedule!$E$6:$E$125,MATCH($B9&amp;"|"&amp;G$7,Schedule!$Q$6:$Q$125,0))&amp;"–"&amp;INDEX(Schedule!$F$6:$F$125,MATCH($B9&amp;"|"&amp;G$7,Schedule!$Q$6:$Q$125,0)),""),IFERROR(IF(INDEX(Schedule!$P$6:$P$125,MATCH($B9&amp;"|"&amp;G$7,Schedule!$R$6:$R$125,0))=1,INDEX(Schedule!$F$6:$F$125,MATCH($B9&amp;"|"&amp;G$7,Schedule!$R$6:$R$125,0))&amp;"–"&amp;INDEX(Schedule!$E$6:$E$125,MATCH($B9&amp;"|"&amp;G$7,Schedule!$R$6:$R$125,0)),""),""))))</f>
        <v/>
      </c>
      <c r="H9" s="16" t="str">
        <f aca="false">IF(OR($B9="",H$7=""),"",IF($B9=H$7,"—",IFERROR(IF(INDEX(Schedule!$P$6:$P$125,MATCH($B9&amp;"|"&amp;H$7,Schedule!$Q$6:$Q$125,0))=1,INDEX(Schedule!$E$6:$E$125,MATCH($B9&amp;"|"&amp;H$7,Schedule!$Q$6:$Q$125,0))&amp;"–"&amp;INDEX(Schedule!$F$6:$F$125,MATCH($B9&amp;"|"&amp;H$7,Schedule!$Q$6:$Q$125,0)),""),IFERROR(IF(INDEX(Schedule!$P$6:$P$125,MATCH($B9&amp;"|"&amp;H$7,Schedule!$R$6:$R$125,0))=1,INDEX(Schedule!$F$6:$F$125,MATCH($B9&amp;"|"&amp;H$7,Schedule!$R$6:$R$125,0))&amp;"–"&amp;INDEX(Schedule!$E$6:$E$125,MATCH($B9&amp;"|"&amp;H$7,Schedule!$R$6:$R$125,0)),""),""))))</f>
        <v/>
      </c>
      <c r="I9" s="16" t="str">
        <f aca="false">IF(OR($B9="",I$7=""),"",IF($B9=I$7,"—",IFERROR(IF(INDEX(Schedule!$P$6:$P$125,MATCH($B9&amp;"|"&amp;I$7,Schedule!$Q$6:$Q$125,0))=1,INDEX(Schedule!$E$6:$E$125,MATCH($B9&amp;"|"&amp;I$7,Schedule!$Q$6:$Q$125,0))&amp;"–"&amp;INDEX(Schedule!$F$6:$F$125,MATCH($B9&amp;"|"&amp;I$7,Schedule!$Q$6:$Q$125,0)),""),IFERROR(IF(INDEX(Schedule!$P$6:$P$125,MATCH($B9&amp;"|"&amp;I$7,Schedule!$R$6:$R$125,0))=1,INDEX(Schedule!$F$6:$F$125,MATCH($B9&amp;"|"&amp;I$7,Schedule!$R$6:$R$125,0))&amp;"–"&amp;INDEX(Schedule!$E$6:$E$125,MATCH($B9&amp;"|"&amp;I$7,Schedule!$R$6:$R$125,0)),""),""))))</f>
        <v>6–3</v>
      </c>
      <c r="J9" s="16" t="str">
        <f aca="false">IF(OR($B9="",J$7=""),"",IF($B9=J$7,"—",IFERROR(IF(INDEX(Schedule!$P$6:$P$125,MATCH($B9&amp;"|"&amp;J$7,Schedule!$Q$6:$Q$125,0))=1,INDEX(Schedule!$E$6:$E$125,MATCH($B9&amp;"|"&amp;J$7,Schedule!$Q$6:$Q$125,0))&amp;"–"&amp;INDEX(Schedule!$F$6:$F$125,MATCH($B9&amp;"|"&amp;J$7,Schedule!$Q$6:$Q$125,0)),""),IFERROR(IF(INDEX(Schedule!$P$6:$P$125,MATCH($B9&amp;"|"&amp;J$7,Schedule!$R$6:$R$125,0))=1,INDEX(Schedule!$F$6:$F$125,MATCH($B9&amp;"|"&amp;J$7,Schedule!$R$6:$R$125,0))&amp;"–"&amp;INDEX(Schedule!$E$6:$E$125,MATCH($B9&amp;"|"&amp;J$7,Schedule!$R$6:$R$125,0)),""),""))))</f>
        <v/>
      </c>
      <c r="K9" s="16" t="str">
        <f aca="false">IF(OR($B9="",K$7=""),"",IF($B9=K$7,"—",IFERROR(IF(INDEX(Schedule!$P$6:$P$125,MATCH($B9&amp;"|"&amp;K$7,Schedule!$Q$6:$Q$125,0))=1,INDEX(Schedule!$E$6:$E$125,MATCH($B9&amp;"|"&amp;K$7,Schedule!$Q$6:$Q$125,0))&amp;"–"&amp;INDEX(Schedule!$F$6:$F$125,MATCH($B9&amp;"|"&amp;K$7,Schedule!$Q$6:$Q$125,0)),""),IFERROR(IF(INDEX(Schedule!$P$6:$P$125,MATCH($B9&amp;"|"&amp;K$7,Schedule!$R$6:$R$125,0))=1,INDEX(Schedule!$F$6:$F$125,MATCH($B9&amp;"|"&amp;K$7,Schedule!$R$6:$R$125,0))&amp;"–"&amp;INDEX(Schedule!$E$6:$E$125,MATCH($B9&amp;"|"&amp;K$7,Schedule!$R$6:$R$125,0)),""),""))))</f>
        <v/>
      </c>
      <c r="L9" s="16" t="str">
        <f aca="false">IF(OR($B9="",L$7=""),"",IF($B9=L$7,"—",IFERROR(IF(INDEX(Schedule!$P$6:$P$125,MATCH($B9&amp;"|"&amp;L$7,Schedule!$Q$6:$Q$125,0))=1,INDEX(Schedule!$E$6:$E$125,MATCH($B9&amp;"|"&amp;L$7,Schedule!$Q$6:$Q$125,0))&amp;"–"&amp;INDEX(Schedule!$F$6:$F$125,MATCH($B9&amp;"|"&amp;L$7,Schedule!$Q$6:$Q$125,0)),""),IFERROR(IF(INDEX(Schedule!$P$6:$P$125,MATCH($B9&amp;"|"&amp;L$7,Schedule!$R$6:$R$125,0))=1,INDEX(Schedule!$F$6:$F$125,MATCH($B9&amp;"|"&amp;L$7,Schedule!$R$6:$R$125,0))&amp;"–"&amp;INDEX(Schedule!$E$6:$E$125,MATCH($B9&amp;"|"&amp;L$7,Schedule!$R$6:$R$125,0)),""),""))))</f>
        <v/>
      </c>
      <c r="M9" s="16" t="str">
        <f aca="false">IF(OR($B9="",M$7=""),"",IF($B9=M$7,"—",IFERROR(IF(INDEX(Schedule!$P$6:$P$125,MATCH($B9&amp;"|"&amp;M$7,Schedule!$Q$6:$Q$125,0))=1,INDEX(Schedule!$E$6:$E$125,MATCH($B9&amp;"|"&amp;M$7,Schedule!$Q$6:$Q$125,0))&amp;"–"&amp;INDEX(Schedule!$F$6:$F$125,MATCH($B9&amp;"|"&amp;M$7,Schedule!$Q$6:$Q$125,0)),""),IFERROR(IF(INDEX(Schedule!$P$6:$P$125,MATCH($B9&amp;"|"&amp;M$7,Schedule!$R$6:$R$125,0))=1,INDEX(Schedule!$F$6:$F$125,MATCH($B9&amp;"|"&amp;M$7,Schedule!$R$6:$R$125,0))&amp;"–"&amp;INDEX(Schedule!$E$6:$E$125,MATCH($B9&amp;"|"&amp;M$7,Schedule!$R$6:$R$125,0)),""),""))))</f>
        <v/>
      </c>
      <c r="N9" s="16" t="str">
        <f aca="false">IF(OR($B9="",N$7=""),"",IF($B9=N$7,"—",IFERROR(IF(INDEX(Schedule!$P$6:$P$125,MATCH($B9&amp;"|"&amp;N$7,Schedule!$Q$6:$Q$125,0))=1,INDEX(Schedule!$E$6:$E$125,MATCH($B9&amp;"|"&amp;N$7,Schedule!$Q$6:$Q$125,0))&amp;"–"&amp;INDEX(Schedule!$F$6:$F$125,MATCH($B9&amp;"|"&amp;N$7,Schedule!$Q$6:$Q$125,0)),""),IFERROR(IF(INDEX(Schedule!$P$6:$P$125,MATCH($B9&amp;"|"&amp;N$7,Schedule!$R$6:$R$125,0))=1,INDEX(Schedule!$F$6:$F$125,MATCH($B9&amp;"|"&amp;N$7,Schedule!$R$6:$R$125,0))&amp;"–"&amp;INDEX(Schedule!$E$6:$E$125,MATCH($B9&amp;"|"&amp;N$7,Schedule!$R$6:$R$125,0)),""),""))))</f>
        <v/>
      </c>
      <c r="O9" s="16" t="str">
        <f aca="false">IF(OR($B9="",O$7=""),"",IF($B9=O$7,"—",IFERROR(IF(INDEX(Schedule!$P$6:$P$125,MATCH($B9&amp;"|"&amp;O$7,Schedule!$Q$6:$Q$125,0))=1,INDEX(Schedule!$E$6:$E$125,MATCH($B9&amp;"|"&amp;O$7,Schedule!$Q$6:$Q$125,0))&amp;"–"&amp;INDEX(Schedule!$F$6:$F$125,MATCH($B9&amp;"|"&amp;O$7,Schedule!$Q$6:$Q$125,0)),""),IFERROR(IF(INDEX(Schedule!$P$6:$P$125,MATCH($B9&amp;"|"&amp;O$7,Schedule!$R$6:$R$125,0))=1,INDEX(Schedule!$F$6:$F$125,MATCH($B9&amp;"|"&amp;O$7,Schedule!$R$6:$R$125,0))&amp;"–"&amp;INDEX(Schedule!$E$6:$E$125,MATCH($B9&amp;"|"&amp;O$7,Schedule!$R$6:$R$125,0)),""),""))))</f>
        <v/>
      </c>
      <c r="P9" s="16" t="str">
        <f aca="false">IF(OR($B9="",P$7=""),"",IF($B9=P$7,"—",IFERROR(IF(INDEX(Schedule!$P$6:$P$125,MATCH($B9&amp;"|"&amp;P$7,Schedule!$Q$6:$Q$125,0))=1,INDEX(Schedule!$E$6:$E$125,MATCH($B9&amp;"|"&amp;P$7,Schedule!$Q$6:$Q$125,0))&amp;"–"&amp;INDEX(Schedule!$F$6:$F$125,MATCH($B9&amp;"|"&amp;P$7,Schedule!$Q$6:$Q$125,0)),""),IFERROR(IF(INDEX(Schedule!$P$6:$P$125,MATCH($B9&amp;"|"&amp;P$7,Schedule!$R$6:$R$125,0))=1,INDEX(Schedule!$F$6:$F$125,MATCH($B9&amp;"|"&amp;P$7,Schedule!$R$6:$R$125,0))&amp;"–"&amp;INDEX(Schedule!$E$6:$E$125,MATCH($B9&amp;"|"&amp;P$7,Schedule!$R$6:$R$125,0)),""),""))))</f>
        <v/>
      </c>
      <c r="Q9" s="16" t="str">
        <f aca="false">IF(OR($B9="",Q$7=""),"",IF($B9=Q$7,"—",IFERROR(IF(INDEX(Schedule!$P$6:$P$125,MATCH($B9&amp;"|"&amp;Q$7,Schedule!$Q$6:$Q$125,0))=1,INDEX(Schedule!$E$6:$E$125,MATCH($B9&amp;"|"&amp;Q$7,Schedule!$Q$6:$Q$125,0))&amp;"–"&amp;INDEX(Schedule!$F$6:$F$125,MATCH($B9&amp;"|"&amp;Q$7,Schedule!$Q$6:$Q$125,0)),""),IFERROR(IF(INDEX(Schedule!$P$6:$P$125,MATCH($B9&amp;"|"&amp;Q$7,Schedule!$R$6:$R$125,0))=1,INDEX(Schedule!$F$6:$F$125,MATCH($B9&amp;"|"&amp;Q$7,Schedule!$R$6:$R$125,0))&amp;"–"&amp;INDEX(Schedule!$E$6:$E$125,MATCH($B9&amp;"|"&amp;Q$7,Schedule!$R$6:$R$125,0)),""),""))))</f>
        <v/>
      </c>
      <c r="R9" s="16" t="str">
        <f aca="false">IF(OR($B9="",R$7=""),"",IF($B9=R$7,"—",IFERROR(IF(INDEX(Schedule!$P$6:$P$125,MATCH($B9&amp;"|"&amp;R$7,Schedule!$Q$6:$Q$125,0))=1,INDEX(Schedule!$E$6:$E$125,MATCH($B9&amp;"|"&amp;R$7,Schedule!$Q$6:$Q$125,0))&amp;"–"&amp;INDEX(Schedule!$F$6:$F$125,MATCH($B9&amp;"|"&amp;R$7,Schedule!$Q$6:$Q$125,0)),""),IFERROR(IF(INDEX(Schedule!$P$6:$P$125,MATCH($B9&amp;"|"&amp;R$7,Schedule!$R$6:$R$125,0))=1,INDEX(Schedule!$F$6:$F$125,MATCH($B9&amp;"|"&amp;R$7,Schedule!$R$6:$R$125,0))&amp;"–"&amp;INDEX(Schedule!$E$6:$E$125,MATCH($B9&amp;"|"&amp;R$7,Schedule!$R$6:$R$125,0)),""),""))))</f>
        <v/>
      </c>
    </row>
    <row r="10" customFormat="false" ht="15" hidden="false" customHeight="false" outlineLevel="0" collapsed="false">
      <c r="B10" s="27" t="str">
        <f aca="false">IF(Setup!$C$18="","",Setup!$C$18)</f>
        <v>Carla</v>
      </c>
      <c r="C10" s="16" t="str">
        <f aca="false">IF(OR($B10="",C$7=""),"",IF($B10=C$7,"—",IFERROR(IF(INDEX(Schedule!$P$6:$P$125,MATCH($B10&amp;"|"&amp;C$7,Schedule!$Q$6:$Q$125,0))=1,INDEX(Schedule!$E$6:$E$125,MATCH($B10&amp;"|"&amp;C$7,Schedule!$Q$6:$Q$125,0))&amp;"–"&amp;INDEX(Schedule!$F$6:$F$125,MATCH($B10&amp;"|"&amp;C$7,Schedule!$Q$6:$Q$125,0)),""),IFERROR(IF(INDEX(Schedule!$P$6:$P$125,MATCH($B10&amp;"|"&amp;C$7,Schedule!$R$6:$R$125,0))=1,INDEX(Schedule!$F$6:$F$125,MATCH($B10&amp;"|"&amp;C$7,Schedule!$R$6:$R$125,0))&amp;"–"&amp;INDEX(Schedule!$E$6:$E$125,MATCH($B10&amp;"|"&amp;C$7,Schedule!$R$6:$R$125,0)),""),""))))</f>
        <v>6–4</v>
      </c>
      <c r="D10" s="16" t="str">
        <f aca="false">IF(OR($B10="",D$7=""),"",IF($B10=D$7,"—",IFERROR(IF(INDEX(Schedule!$P$6:$P$125,MATCH($B10&amp;"|"&amp;D$7,Schedule!$Q$6:$Q$125,0))=1,INDEX(Schedule!$E$6:$E$125,MATCH($B10&amp;"|"&amp;D$7,Schedule!$Q$6:$Q$125,0))&amp;"–"&amp;INDEX(Schedule!$F$6:$F$125,MATCH($B10&amp;"|"&amp;D$7,Schedule!$Q$6:$Q$125,0)),""),IFERROR(IF(INDEX(Schedule!$P$6:$P$125,MATCH($B10&amp;"|"&amp;D$7,Schedule!$R$6:$R$125,0))=1,INDEX(Schedule!$F$6:$F$125,MATCH($B10&amp;"|"&amp;D$7,Schedule!$R$6:$R$125,0))&amp;"–"&amp;INDEX(Schedule!$E$6:$E$125,MATCH($B10&amp;"|"&amp;D$7,Schedule!$R$6:$R$125,0)),""),""))))</f>
        <v/>
      </c>
      <c r="E10" s="16" t="str">
        <f aca="false">IF(OR($B10="",E$7=""),"",IF($B10=E$7,"—",IFERROR(IF(INDEX(Schedule!$P$6:$P$125,MATCH($B10&amp;"|"&amp;E$7,Schedule!$Q$6:$Q$125,0))=1,INDEX(Schedule!$E$6:$E$125,MATCH($B10&amp;"|"&amp;E$7,Schedule!$Q$6:$Q$125,0))&amp;"–"&amp;INDEX(Schedule!$F$6:$F$125,MATCH($B10&amp;"|"&amp;E$7,Schedule!$Q$6:$Q$125,0)),""),IFERROR(IF(INDEX(Schedule!$P$6:$P$125,MATCH($B10&amp;"|"&amp;E$7,Schedule!$R$6:$R$125,0))=1,INDEX(Schedule!$F$6:$F$125,MATCH($B10&amp;"|"&amp;E$7,Schedule!$R$6:$R$125,0))&amp;"–"&amp;INDEX(Schedule!$E$6:$E$125,MATCH($B10&amp;"|"&amp;E$7,Schedule!$R$6:$R$125,0)),""),""))))</f>
        <v>—</v>
      </c>
      <c r="F10" s="16" t="str">
        <f aca="false">IF(OR($B10="",F$7=""),"",IF($B10=F$7,"—",IFERROR(IF(INDEX(Schedule!$P$6:$P$125,MATCH($B10&amp;"|"&amp;F$7,Schedule!$Q$6:$Q$125,0))=1,INDEX(Schedule!$E$6:$E$125,MATCH($B10&amp;"|"&amp;F$7,Schedule!$Q$6:$Q$125,0))&amp;"–"&amp;INDEX(Schedule!$F$6:$F$125,MATCH($B10&amp;"|"&amp;F$7,Schedule!$Q$6:$Q$125,0)),""),IFERROR(IF(INDEX(Schedule!$P$6:$P$125,MATCH($B10&amp;"|"&amp;F$7,Schedule!$R$6:$R$125,0))=1,INDEX(Schedule!$F$6:$F$125,MATCH($B10&amp;"|"&amp;F$7,Schedule!$R$6:$R$125,0))&amp;"–"&amp;INDEX(Schedule!$E$6:$E$125,MATCH($B10&amp;"|"&amp;F$7,Schedule!$R$6:$R$125,0)),""),""))))</f>
        <v/>
      </c>
      <c r="G10" s="16" t="str">
        <f aca="false">IF(OR($B10="",G$7=""),"",IF($B10=G$7,"—",IFERROR(IF(INDEX(Schedule!$P$6:$P$125,MATCH($B10&amp;"|"&amp;G$7,Schedule!$Q$6:$Q$125,0))=1,INDEX(Schedule!$E$6:$E$125,MATCH($B10&amp;"|"&amp;G$7,Schedule!$Q$6:$Q$125,0))&amp;"–"&amp;INDEX(Schedule!$F$6:$F$125,MATCH($B10&amp;"|"&amp;G$7,Schedule!$Q$6:$Q$125,0)),""),IFERROR(IF(INDEX(Schedule!$P$6:$P$125,MATCH($B10&amp;"|"&amp;G$7,Schedule!$R$6:$R$125,0))=1,INDEX(Schedule!$F$6:$F$125,MATCH($B10&amp;"|"&amp;G$7,Schedule!$R$6:$R$125,0))&amp;"–"&amp;INDEX(Schedule!$E$6:$E$125,MATCH($B10&amp;"|"&amp;G$7,Schedule!$R$6:$R$125,0)),""),""))))</f>
        <v/>
      </c>
      <c r="H10" s="16" t="str">
        <f aca="false">IF(OR($B10="",H$7=""),"",IF($B10=H$7,"—",IFERROR(IF(INDEX(Schedule!$P$6:$P$125,MATCH($B10&amp;"|"&amp;H$7,Schedule!$Q$6:$Q$125,0))=1,INDEX(Schedule!$E$6:$E$125,MATCH($B10&amp;"|"&amp;H$7,Schedule!$Q$6:$Q$125,0))&amp;"–"&amp;INDEX(Schedule!$F$6:$F$125,MATCH($B10&amp;"|"&amp;H$7,Schedule!$Q$6:$Q$125,0)),""),IFERROR(IF(INDEX(Schedule!$P$6:$P$125,MATCH($B10&amp;"|"&amp;H$7,Schedule!$R$6:$R$125,0))=1,INDEX(Schedule!$F$6:$F$125,MATCH($B10&amp;"|"&amp;H$7,Schedule!$R$6:$R$125,0))&amp;"–"&amp;INDEX(Schedule!$E$6:$E$125,MATCH($B10&amp;"|"&amp;H$7,Schedule!$R$6:$R$125,0)),""),""))))</f>
        <v>4–6</v>
      </c>
      <c r="I10" s="16" t="str">
        <f aca="false">IF(OR($B10="",I$7=""),"",IF($B10=I$7,"—",IFERROR(IF(INDEX(Schedule!$P$6:$P$125,MATCH($B10&amp;"|"&amp;I$7,Schedule!$Q$6:$Q$125,0))=1,INDEX(Schedule!$E$6:$E$125,MATCH($B10&amp;"|"&amp;I$7,Schedule!$Q$6:$Q$125,0))&amp;"–"&amp;INDEX(Schedule!$F$6:$F$125,MATCH($B10&amp;"|"&amp;I$7,Schedule!$Q$6:$Q$125,0)),""),IFERROR(IF(INDEX(Schedule!$P$6:$P$125,MATCH($B10&amp;"|"&amp;I$7,Schedule!$R$6:$R$125,0))=1,INDEX(Schedule!$F$6:$F$125,MATCH($B10&amp;"|"&amp;I$7,Schedule!$R$6:$R$125,0))&amp;"–"&amp;INDEX(Schedule!$E$6:$E$125,MATCH($B10&amp;"|"&amp;I$7,Schedule!$R$6:$R$125,0)),""),""))))</f>
        <v/>
      </c>
      <c r="J10" s="16" t="str">
        <f aca="false">IF(OR($B10="",J$7=""),"",IF($B10=J$7,"—",IFERROR(IF(INDEX(Schedule!$P$6:$P$125,MATCH($B10&amp;"|"&amp;J$7,Schedule!$Q$6:$Q$125,0))=1,INDEX(Schedule!$E$6:$E$125,MATCH($B10&amp;"|"&amp;J$7,Schedule!$Q$6:$Q$125,0))&amp;"–"&amp;INDEX(Schedule!$F$6:$F$125,MATCH($B10&amp;"|"&amp;J$7,Schedule!$Q$6:$Q$125,0)),""),IFERROR(IF(INDEX(Schedule!$P$6:$P$125,MATCH($B10&amp;"|"&amp;J$7,Schedule!$R$6:$R$125,0))=1,INDEX(Schedule!$F$6:$F$125,MATCH($B10&amp;"|"&amp;J$7,Schedule!$R$6:$R$125,0))&amp;"–"&amp;INDEX(Schedule!$E$6:$E$125,MATCH($B10&amp;"|"&amp;J$7,Schedule!$R$6:$R$125,0)),""),""))))</f>
        <v/>
      </c>
      <c r="K10" s="16" t="str">
        <f aca="false">IF(OR($B10="",K$7=""),"",IF($B10=K$7,"—",IFERROR(IF(INDEX(Schedule!$P$6:$P$125,MATCH($B10&amp;"|"&amp;K$7,Schedule!$Q$6:$Q$125,0))=1,INDEX(Schedule!$E$6:$E$125,MATCH($B10&amp;"|"&amp;K$7,Schedule!$Q$6:$Q$125,0))&amp;"–"&amp;INDEX(Schedule!$F$6:$F$125,MATCH($B10&amp;"|"&amp;K$7,Schedule!$Q$6:$Q$125,0)),""),IFERROR(IF(INDEX(Schedule!$P$6:$P$125,MATCH($B10&amp;"|"&amp;K$7,Schedule!$R$6:$R$125,0))=1,INDEX(Schedule!$F$6:$F$125,MATCH($B10&amp;"|"&amp;K$7,Schedule!$R$6:$R$125,0))&amp;"–"&amp;INDEX(Schedule!$E$6:$E$125,MATCH($B10&amp;"|"&amp;K$7,Schedule!$R$6:$R$125,0)),""),""))))</f>
        <v/>
      </c>
      <c r="L10" s="16" t="str">
        <f aca="false">IF(OR($B10="",L$7=""),"",IF($B10=L$7,"—",IFERROR(IF(INDEX(Schedule!$P$6:$P$125,MATCH($B10&amp;"|"&amp;L$7,Schedule!$Q$6:$Q$125,0))=1,INDEX(Schedule!$E$6:$E$125,MATCH($B10&amp;"|"&amp;L$7,Schedule!$Q$6:$Q$125,0))&amp;"–"&amp;INDEX(Schedule!$F$6:$F$125,MATCH($B10&amp;"|"&amp;L$7,Schedule!$Q$6:$Q$125,0)),""),IFERROR(IF(INDEX(Schedule!$P$6:$P$125,MATCH($B10&amp;"|"&amp;L$7,Schedule!$R$6:$R$125,0))=1,INDEX(Schedule!$F$6:$F$125,MATCH($B10&amp;"|"&amp;L$7,Schedule!$R$6:$R$125,0))&amp;"–"&amp;INDEX(Schedule!$E$6:$E$125,MATCH($B10&amp;"|"&amp;L$7,Schedule!$R$6:$R$125,0)),""),""))))</f>
        <v/>
      </c>
      <c r="M10" s="16" t="str">
        <f aca="false">IF(OR($B10="",M$7=""),"",IF($B10=M$7,"—",IFERROR(IF(INDEX(Schedule!$P$6:$P$125,MATCH($B10&amp;"|"&amp;M$7,Schedule!$Q$6:$Q$125,0))=1,INDEX(Schedule!$E$6:$E$125,MATCH($B10&amp;"|"&amp;M$7,Schedule!$Q$6:$Q$125,0))&amp;"–"&amp;INDEX(Schedule!$F$6:$F$125,MATCH($B10&amp;"|"&amp;M$7,Schedule!$Q$6:$Q$125,0)),""),IFERROR(IF(INDEX(Schedule!$P$6:$P$125,MATCH($B10&amp;"|"&amp;M$7,Schedule!$R$6:$R$125,0))=1,INDEX(Schedule!$F$6:$F$125,MATCH($B10&amp;"|"&amp;M$7,Schedule!$R$6:$R$125,0))&amp;"–"&amp;INDEX(Schedule!$E$6:$E$125,MATCH($B10&amp;"|"&amp;M$7,Schedule!$R$6:$R$125,0)),""),""))))</f>
        <v/>
      </c>
      <c r="N10" s="16" t="str">
        <f aca="false">IF(OR($B10="",N$7=""),"",IF($B10=N$7,"—",IFERROR(IF(INDEX(Schedule!$P$6:$P$125,MATCH($B10&amp;"|"&amp;N$7,Schedule!$Q$6:$Q$125,0))=1,INDEX(Schedule!$E$6:$E$125,MATCH($B10&amp;"|"&amp;N$7,Schedule!$Q$6:$Q$125,0))&amp;"–"&amp;INDEX(Schedule!$F$6:$F$125,MATCH($B10&amp;"|"&amp;N$7,Schedule!$Q$6:$Q$125,0)),""),IFERROR(IF(INDEX(Schedule!$P$6:$P$125,MATCH($B10&amp;"|"&amp;N$7,Schedule!$R$6:$R$125,0))=1,INDEX(Schedule!$F$6:$F$125,MATCH($B10&amp;"|"&amp;N$7,Schedule!$R$6:$R$125,0))&amp;"–"&amp;INDEX(Schedule!$E$6:$E$125,MATCH($B10&amp;"|"&amp;N$7,Schedule!$R$6:$R$125,0)),""),""))))</f>
        <v/>
      </c>
      <c r="O10" s="16" t="str">
        <f aca="false">IF(OR($B10="",O$7=""),"",IF($B10=O$7,"—",IFERROR(IF(INDEX(Schedule!$P$6:$P$125,MATCH($B10&amp;"|"&amp;O$7,Schedule!$Q$6:$Q$125,0))=1,INDEX(Schedule!$E$6:$E$125,MATCH($B10&amp;"|"&amp;O$7,Schedule!$Q$6:$Q$125,0))&amp;"–"&amp;INDEX(Schedule!$F$6:$F$125,MATCH($B10&amp;"|"&amp;O$7,Schedule!$Q$6:$Q$125,0)),""),IFERROR(IF(INDEX(Schedule!$P$6:$P$125,MATCH($B10&amp;"|"&amp;O$7,Schedule!$R$6:$R$125,0))=1,INDEX(Schedule!$F$6:$F$125,MATCH($B10&amp;"|"&amp;O$7,Schedule!$R$6:$R$125,0))&amp;"–"&amp;INDEX(Schedule!$E$6:$E$125,MATCH($B10&amp;"|"&amp;O$7,Schedule!$R$6:$R$125,0)),""),""))))</f>
        <v/>
      </c>
      <c r="P10" s="16" t="str">
        <f aca="false">IF(OR($B10="",P$7=""),"",IF($B10=P$7,"—",IFERROR(IF(INDEX(Schedule!$P$6:$P$125,MATCH($B10&amp;"|"&amp;P$7,Schedule!$Q$6:$Q$125,0))=1,INDEX(Schedule!$E$6:$E$125,MATCH($B10&amp;"|"&amp;P$7,Schedule!$Q$6:$Q$125,0))&amp;"–"&amp;INDEX(Schedule!$F$6:$F$125,MATCH($B10&amp;"|"&amp;P$7,Schedule!$Q$6:$Q$125,0)),""),IFERROR(IF(INDEX(Schedule!$P$6:$P$125,MATCH($B10&amp;"|"&amp;P$7,Schedule!$R$6:$R$125,0))=1,INDEX(Schedule!$F$6:$F$125,MATCH($B10&amp;"|"&amp;P$7,Schedule!$R$6:$R$125,0))&amp;"–"&amp;INDEX(Schedule!$E$6:$E$125,MATCH($B10&amp;"|"&amp;P$7,Schedule!$R$6:$R$125,0)),""),""))))</f>
        <v/>
      </c>
      <c r="Q10" s="16" t="str">
        <f aca="false">IF(OR($B10="",Q$7=""),"",IF($B10=Q$7,"—",IFERROR(IF(INDEX(Schedule!$P$6:$P$125,MATCH($B10&amp;"|"&amp;Q$7,Schedule!$Q$6:$Q$125,0))=1,INDEX(Schedule!$E$6:$E$125,MATCH($B10&amp;"|"&amp;Q$7,Schedule!$Q$6:$Q$125,0))&amp;"–"&amp;INDEX(Schedule!$F$6:$F$125,MATCH($B10&amp;"|"&amp;Q$7,Schedule!$Q$6:$Q$125,0)),""),IFERROR(IF(INDEX(Schedule!$P$6:$P$125,MATCH($B10&amp;"|"&amp;Q$7,Schedule!$R$6:$R$125,0))=1,INDEX(Schedule!$F$6:$F$125,MATCH($B10&amp;"|"&amp;Q$7,Schedule!$R$6:$R$125,0))&amp;"–"&amp;INDEX(Schedule!$E$6:$E$125,MATCH($B10&amp;"|"&amp;Q$7,Schedule!$R$6:$R$125,0)),""),""))))</f>
        <v/>
      </c>
      <c r="R10" s="16" t="str">
        <f aca="false">IF(OR($B10="",R$7=""),"",IF($B10=R$7,"—",IFERROR(IF(INDEX(Schedule!$P$6:$P$125,MATCH($B10&amp;"|"&amp;R$7,Schedule!$Q$6:$Q$125,0))=1,INDEX(Schedule!$E$6:$E$125,MATCH($B10&amp;"|"&amp;R$7,Schedule!$Q$6:$Q$125,0))&amp;"–"&amp;INDEX(Schedule!$F$6:$F$125,MATCH($B10&amp;"|"&amp;R$7,Schedule!$Q$6:$Q$125,0)),""),IFERROR(IF(INDEX(Schedule!$P$6:$P$125,MATCH($B10&amp;"|"&amp;R$7,Schedule!$R$6:$R$125,0))=1,INDEX(Schedule!$F$6:$F$125,MATCH($B10&amp;"|"&amp;R$7,Schedule!$R$6:$R$125,0))&amp;"–"&amp;INDEX(Schedule!$E$6:$E$125,MATCH($B10&amp;"|"&amp;R$7,Schedule!$R$6:$R$125,0)),""),""))))</f>
        <v/>
      </c>
    </row>
    <row r="11" customFormat="false" ht="15" hidden="false" customHeight="false" outlineLevel="0" collapsed="false">
      <c r="B11" s="27" t="str">
        <f aca="false">IF(Setup!$C$19="","",Setup!$C$19)</f>
        <v>David</v>
      </c>
      <c r="C11" s="16" t="str">
        <f aca="false">IF(OR($B11="",C$7=""),"",IF($B11=C$7,"—",IFERROR(IF(INDEX(Schedule!$P$6:$P$125,MATCH($B11&amp;"|"&amp;C$7,Schedule!$Q$6:$Q$125,0))=1,INDEX(Schedule!$E$6:$E$125,MATCH($B11&amp;"|"&amp;C$7,Schedule!$Q$6:$Q$125,0))&amp;"–"&amp;INDEX(Schedule!$F$6:$F$125,MATCH($B11&amp;"|"&amp;C$7,Schedule!$Q$6:$Q$125,0)),""),IFERROR(IF(INDEX(Schedule!$P$6:$P$125,MATCH($B11&amp;"|"&amp;C$7,Schedule!$R$6:$R$125,0))=1,INDEX(Schedule!$F$6:$F$125,MATCH($B11&amp;"|"&amp;C$7,Schedule!$R$6:$R$125,0))&amp;"–"&amp;INDEX(Schedule!$E$6:$E$125,MATCH($B11&amp;"|"&amp;C$7,Schedule!$R$6:$R$125,0)),""),""))))</f>
        <v/>
      </c>
      <c r="D11" s="16" t="str">
        <f aca="false">IF(OR($B11="",D$7=""),"",IF($B11=D$7,"—",IFERROR(IF(INDEX(Schedule!$P$6:$P$125,MATCH($B11&amp;"|"&amp;D$7,Schedule!$Q$6:$Q$125,0))=1,INDEX(Schedule!$E$6:$E$125,MATCH($B11&amp;"|"&amp;D$7,Schedule!$Q$6:$Q$125,0))&amp;"–"&amp;INDEX(Schedule!$F$6:$F$125,MATCH($B11&amp;"|"&amp;D$7,Schedule!$Q$6:$Q$125,0)),""),IFERROR(IF(INDEX(Schedule!$P$6:$P$125,MATCH($B11&amp;"|"&amp;D$7,Schedule!$R$6:$R$125,0))=1,INDEX(Schedule!$F$6:$F$125,MATCH($B11&amp;"|"&amp;D$7,Schedule!$R$6:$R$125,0))&amp;"–"&amp;INDEX(Schedule!$E$6:$E$125,MATCH($B11&amp;"|"&amp;D$7,Schedule!$R$6:$R$125,0)),""),""))))</f>
        <v>3–6</v>
      </c>
      <c r="E11" s="16" t="str">
        <f aca="false">IF(OR($B11="",E$7=""),"",IF($B11=E$7,"—",IFERROR(IF(INDEX(Schedule!$P$6:$P$125,MATCH($B11&amp;"|"&amp;E$7,Schedule!$Q$6:$Q$125,0))=1,INDEX(Schedule!$E$6:$E$125,MATCH($B11&amp;"|"&amp;E$7,Schedule!$Q$6:$Q$125,0))&amp;"–"&amp;INDEX(Schedule!$F$6:$F$125,MATCH($B11&amp;"|"&amp;E$7,Schedule!$Q$6:$Q$125,0)),""),IFERROR(IF(INDEX(Schedule!$P$6:$P$125,MATCH($B11&amp;"|"&amp;E$7,Schedule!$R$6:$R$125,0))=1,INDEX(Schedule!$F$6:$F$125,MATCH($B11&amp;"|"&amp;E$7,Schedule!$R$6:$R$125,0))&amp;"–"&amp;INDEX(Schedule!$E$6:$E$125,MATCH($B11&amp;"|"&amp;E$7,Schedule!$R$6:$R$125,0)),""),""))))</f>
        <v/>
      </c>
      <c r="F11" s="16" t="str">
        <f aca="false">IF(OR($B11="",F$7=""),"",IF($B11=F$7,"—",IFERROR(IF(INDEX(Schedule!$P$6:$P$125,MATCH($B11&amp;"|"&amp;F$7,Schedule!$Q$6:$Q$125,0))=1,INDEX(Schedule!$E$6:$E$125,MATCH($B11&amp;"|"&amp;F$7,Schedule!$Q$6:$Q$125,0))&amp;"–"&amp;INDEX(Schedule!$F$6:$F$125,MATCH($B11&amp;"|"&amp;F$7,Schedule!$Q$6:$Q$125,0)),""),IFERROR(IF(INDEX(Schedule!$P$6:$P$125,MATCH($B11&amp;"|"&amp;F$7,Schedule!$R$6:$R$125,0))=1,INDEX(Schedule!$F$6:$F$125,MATCH($B11&amp;"|"&amp;F$7,Schedule!$R$6:$R$125,0))&amp;"–"&amp;INDEX(Schedule!$E$6:$E$125,MATCH($B11&amp;"|"&amp;F$7,Schedule!$R$6:$R$125,0)),""),""))))</f>
        <v>—</v>
      </c>
      <c r="G11" s="16" t="str">
        <f aca="false">IF(OR($B11="",G$7=""),"",IF($B11=G$7,"—",IFERROR(IF(INDEX(Schedule!$P$6:$P$125,MATCH($B11&amp;"|"&amp;G$7,Schedule!$Q$6:$Q$125,0))=1,INDEX(Schedule!$E$6:$E$125,MATCH($B11&amp;"|"&amp;G$7,Schedule!$Q$6:$Q$125,0))&amp;"–"&amp;INDEX(Schedule!$F$6:$F$125,MATCH($B11&amp;"|"&amp;G$7,Schedule!$Q$6:$Q$125,0)),""),IFERROR(IF(INDEX(Schedule!$P$6:$P$125,MATCH($B11&amp;"|"&amp;G$7,Schedule!$R$6:$R$125,0))=1,INDEX(Schedule!$F$6:$F$125,MATCH($B11&amp;"|"&amp;G$7,Schedule!$R$6:$R$125,0))&amp;"–"&amp;INDEX(Schedule!$E$6:$E$125,MATCH($B11&amp;"|"&amp;G$7,Schedule!$R$6:$R$125,0)),""),""))))</f>
        <v>6–2</v>
      </c>
      <c r="H11" s="16" t="str">
        <f aca="false">IF(OR($B11="",H$7=""),"",IF($B11=H$7,"—",IFERROR(IF(INDEX(Schedule!$P$6:$P$125,MATCH($B11&amp;"|"&amp;H$7,Schedule!$Q$6:$Q$125,0))=1,INDEX(Schedule!$E$6:$E$125,MATCH($B11&amp;"|"&amp;H$7,Schedule!$Q$6:$Q$125,0))&amp;"–"&amp;INDEX(Schedule!$F$6:$F$125,MATCH($B11&amp;"|"&amp;H$7,Schedule!$Q$6:$Q$125,0)),""),IFERROR(IF(INDEX(Schedule!$P$6:$P$125,MATCH($B11&amp;"|"&amp;H$7,Schedule!$R$6:$R$125,0))=1,INDEX(Schedule!$F$6:$F$125,MATCH($B11&amp;"|"&amp;H$7,Schedule!$R$6:$R$125,0))&amp;"–"&amp;INDEX(Schedule!$E$6:$E$125,MATCH($B11&amp;"|"&amp;H$7,Schedule!$R$6:$R$125,0)),""),""))))</f>
        <v/>
      </c>
      <c r="I11" s="16" t="str">
        <f aca="false">IF(OR($B11="",I$7=""),"",IF($B11=I$7,"—",IFERROR(IF(INDEX(Schedule!$P$6:$P$125,MATCH($B11&amp;"|"&amp;I$7,Schedule!$Q$6:$Q$125,0))=1,INDEX(Schedule!$E$6:$E$125,MATCH($B11&amp;"|"&amp;I$7,Schedule!$Q$6:$Q$125,0))&amp;"–"&amp;INDEX(Schedule!$F$6:$F$125,MATCH($B11&amp;"|"&amp;I$7,Schedule!$Q$6:$Q$125,0)),""),IFERROR(IF(INDEX(Schedule!$P$6:$P$125,MATCH($B11&amp;"|"&amp;I$7,Schedule!$R$6:$R$125,0))=1,INDEX(Schedule!$F$6:$F$125,MATCH($B11&amp;"|"&amp;I$7,Schedule!$R$6:$R$125,0))&amp;"–"&amp;INDEX(Schedule!$E$6:$E$125,MATCH($B11&amp;"|"&amp;I$7,Schedule!$R$6:$R$125,0)),""),""))))</f>
        <v>5–6</v>
      </c>
      <c r="J11" s="16" t="str">
        <f aca="false">IF(OR($B11="",J$7=""),"",IF($B11=J$7,"—",IFERROR(IF(INDEX(Schedule!$P$6:$P$125,MATCH($B11&amp;"|"&amp;J$7,Schedule!$Q$6:$Q$125,0))=1,INDEX(Schedule!$E$6:$E$125,MATCH($B11&amp;"|"&amp;J$7,Schedule!$Q$6:$Q$125,0))&amp;"–"&amp;INDEX(Schedule!$F$6:$F$125,MATCH($B11&amp;"|"&amp;J$7,Schedule!$Q$6:$Q$125,0)),""),IFERROR(IF(INDEX(Schedule!$P$6:$P$125,MATCH($B11&amp;"|"&amp;J$7,Schedule!$R$6:$R$125,0))=1,INDEX(Schedule!$F$6:$F$125,MATCH($B11&amp;"|"&amp;J$7,Schedule!$R$6:$R$125,0))&amp;"–"&amp;INDEX(Schedule!$E$6:$E$125,MATCH($B11&amp;"|"&amp;J$7,Schedule!$R$6:$R$125,0)),""),""))))</f>
        <v/>
      </c>
      <c r="K11" s="16" t="str">
        <f aca="false">IF(OR($B11="",K$7=""),"",IF($B11=K$7,"—",IFERROR(IF(INDEX(Schedule!$P$6:$P$125,MATCH($B11&amp;"|"&amp;K$7,Schedule!$Q$6:$Q$125,0))=1,INDEX(Schedule!$E$6:$E$125,MATCH($B11&amp;"|"&amp;K$7,Schedule!$Q$6:$Q$125,0))&amp;"–"&amp;INDEX(Schedule!$F$6:$F$125,MATCH($B11&amp;"|"&amp;K$7,Schedule!$Q$6:$Q$125,0)),""),IFERROR(IF(INDEX(Schedule!$P$6:$P$125,MATCH($B11&amp;"|"&amp;K$7,Schedule!$R$6:$R$125,0))=1,INDEX(Schedule!$F$6:$F$125,MATCH($B11&amp;"|"&amp;K$7,Schedule!$R$6:$R$125,0))&amp;"–"&amp;INDEX(Schedule!$E$6:$E$125,MATCH($B11&amp;"|"&amp;K$7,Schedule!$R$6:$R$125,0)),""),""))))</f>
        <v/>
      </c>
      <c r="L11" s="16" t="str">
        <f aca="false">IF(OR($B11="",L$7=""),"",IF($B11=L$7,"—",IFERROR(IF(INDEX(Schedule!$P$6:$P$125,MATCH($B11&amp;"|"&amp;L$7,Schedule!$Q$6:$Q$125,0))=1,INDEX(Schedule!$E$6:$E$125,MATCH($B11&amp;"|"&amp;L$7,Schedule!$Q$6:$Q$125,0))&amp;"–"&amp;INDEX(Schedule!$F$6:$F$125,MATCH($B11&amp;"|"&amp;L$7,Schedule!$Q$6:$Q$125,0)),""),IFERROR(IF(INDEX(Schedule!$P$6:$P$125,MATCH($B11&amp;"|"&amp;L$7,Schedule!$R$6:$R$125,0))=1,INDEX(Schedule!$F$6:$F$125,MATCH($B11&amp;"|"&amp;L$7,Schedule!$R$6:$R$125,0))&amp;"–"&amp;INDEX(Schedule!$E$6:$E$125,MATCH($B11&amp;"|"&amp;L$7,Schedule!$R$6:$R$125,0)),""),""))))</f>
        <v/>
      </c>
      <c r="M11" s="16" t="str">
        <f aca="false">IF(OR($B11="",M$7=""),"",IF($B11=M$7,"—",IFERROR(IF(INDEX(Schedule!$P$6:$P$125,MATCH($B11&amp;"|"&amp;M$7,Schedule!$Q$6:$Q$125,0))=1,INDEX(Schedule!$E$6:$E$125,MATCH($B11&amp;"|"&amp;M$7,Schedule!$Q$6:$Q$125,0))&amp;"–"&amp;INDEX(Schedule!$F$6:$F$125,MATCH($B11&amp;"|"&amp;M$7,Schedule!$Q$6:$Q$125,0)),""),IFERROR(IF(INDEX(Schedule!$P$6:$P$125,MATCH($B11&amp;"|"&amp;M$7,Schedule!$R$6:$R$125,0))=1,INDEX(Schedule!$F$6:$F$125,MATCH($B11&amp;"|"&amp;M$7,Schedule!$R$6:$R$125,0))&amp;"–"&amp;INDEX(Schedule!$E$6:$E$125,MATCH($B11&amp;"|"&amp;M$7,Schedule!$R$6:$R$125,0)),""),""))))</f>
        <v/>
      </c>
      <c r="N11" s="16" t="str">
        <f aca="false">IF(OR($B11="",N$7=""),"",IF($B11=N$7,"—",IFERROR(IF(INDEX(Schedule!$P$6:$P$125,MATCH($B11&amp;"|"&amp;N$7,Schedule!$Q$6:$Q$125,0))=1,INDEX(Schedule!$E$6:$E$125,MATCH($B11&amp;"|"&amp;N$7,Schedule!$Q$6:$Q$125,0))&amp;"–"&amp;INDEX(Schedule!$F$6:$F$125,MATCH($B11&amp;"|"&amp;N$7,Schedule!$Q$6:$Q$125,0)),""),IFERROR(IF(INDEX(Schedule!$P$6:$P$125,MATCH($B11&amp;"|"&amp;N$7,Schedule!$R$6:$R$125,0))=1,INDEX(Schedule!$F$6:$F$125,MATCH($B11&amp;"|"&amp;N$7,Schedule!$R$6:$R$125,0))&amp;"–"&amp;INDEX(Schedule!$E$6:$E$125,MATCH($B11&amp;"|"&amp;N$7,Schedule!$R$6:$R$125,0)),""),""))))</f>
        <v/>
      </c>
      <c r="O11" s="16" t="str">
        <f aca="false">IF(OR($B11="",O$7=""),"",IF($B11=O$7,"—",IFERROR(IF(INDEX(Schedule!$P$6:$P$125,MATCH($B11&amp;"|"&amp;O$7,Schedule!$Q$6:$Q$125,0))=1,INDEX(Schedule!$E$6:$E$125,MATCH($B11&amp;"|"&amp;O$7,Schedule!$Q$6:$Q$125,0))&amp;"–"&amp;INDEX(Schedule!$F$6:$F$125,MATCH($B11&amp;"|"&amp;O$7,Schedule!$Q$6:$Q$125,0)),""),IFERROR(IF(INDEX(Schedule!$P$6:$P$125,MATCH($B11&amp;"|"&amp;O$7,Schedule!$R$6:$R$125,0))=1,INDEX(Schedule!$F$6:$F$125,MATCH($B11&amp;"|"&amp;O$7,Schedule!$R$6:$R$125,0))&amp;"–"&amp;INDEX(Schedule!$E$6:$E$125,MATCH($B11&amp;"|"&amp;O$7,Schedule!$R$6:$R$125,0)),""),""))))</f>
        <v/>
      </c>
      <c r="P11" s="16" t="str">
        <f aca="false">IF(OR($B11="",P$7=""),"",IF($B11=P$7,"—",IFERROR(IF(INDEX(Schedule!$P$6:$P$125,MATCH($B11&amp;"|"&amp;P$7,Schedule!$Q$6:$Q$125,0))=1,INDEX(Schedule!$E$6:$E$125,MATCH($B11&amp;"|"&amp;P$7,Schedule!$Q$6:$Q$125,0))&amp;"–"&amp;INDEX(Schedule!$F$6:$F$125,MATCH($B11&amp;"|"&amp;P$7,Schedule!$Q$6:$Q$125,0)),""),IFERROR(IF(INDEX(Schedule!$P$6:$P$125,MATCH($B11&amp;"|"&amp;P$7,Schedule!$R$6:$R$125,0))=1,INDEX(Schedule!$F$6:$F$125,MATCH($B11&amp;"|"&amp;P$7,Schedule!$R$6:$R$125,0))&amp;"–"&amp;INDEX(Schedule!$E$6:$E$125,MATCH($B11&amp;"|"&amp;P$7,Schedule!$R$6:$R$125,0)),""),""))))</f>
        <v/>
      </c>
      <c r="Q11" s="16" t="str">
        <f aca="false">IF(OR($B11="",Q$7=""),"",IF($B11=Q$7,"—",IFERROR(IF(INDEX(Schedule!$P$6:$P$125,MATCH($B11&amp;"|"&amp;Q$7,Schedule!$Q$6:$Q$125,0))=1,INDEX(Schedule!$E$6:$E$125,MATCH($B11&amp;"|"&amp;Q$7,Schedule!$Q$6:$Q$125,0))&amp;"–"&amp;INDEX(Schedule!$F$6:$F$125,MATCH($B11&amp;"|"&amp;Q$7,Schedule!$Q$6:$Q$125,0)),""),IFERROR(IF(INDEX(Schedule!$P$6:$P$125,MATCH($B11&amp;"|"&amp;Q$7,Schedule!$R$6:$R$125,0))=1,INDEX(Schedule!$F$6:$F$125,MATCH($B11&amp;"|"&amp;Q$7,Schedule!$R$6:$R$125,0))&amp;"–"&amp;INDEX(Schedule!$E$6:$E$125,MATCH($B11&amp;"|"&amp;Q$7,Schedule!$R$6:$R$125,0)),""),""))))</f>
        <v/>
      </c>
      <c r="R11" s="16" t="str">
        <f aca="false">IF(OR($B11="",R$7=""),"",IF($B11=R$7,"—",IFERROR(IF(INDEX(Schedule!$P$6:$P$125,MATCH($B11&amp;"|"&amp;R$7,Schedule!$Q$6:$Q$125,0))=1,INDEX(Schedule!$E$6:$E$125,MATCH($B11&amp;"|"&amp;R$7,Schedule!$Q$6:$Q$125,0))&amp;"–"&amp;INDEX(Schedule!$F$6:$F$125,MATCH($B11&amp;"|"&amp;R$7,Schedule!$Q$6:$Q$125,0)),""),IFERROR(IF(INDEX(Schedule!$P$6:$P$125,MATCH($B11&amp;"|"&amp;R$7,Schedule!$R$6:$R$125,0))=1,INDEX(Schedule!$F$6:$F$125,MATCH($B11&amp;"|"&amp;R$7,Schedule!$R$6:$R$125,0))&amp;"–"&amp;INDEX(Schedule!$E$6:$E$125,MATCH($B11&amp;"|"&amp;R$7,Schedule!$R$6:$R$125,0)),""),""))))</f>
        <v/>
      </c>
    </row>
    <row r="12" customFormat="false" ht="15" hidden="false" customHeight="false" outlineLevel="0" collapsed="false">
      <c r="B12" s="27" t="str">
        <f aca="false">IF(Setup!$C$20="","",Setup!$C$20)</f>
        <v>Elena</v>
      </c>
      <c r="C12" s="16" t="str">
        <f aca="false">IF(OR($B12="",C$7=""),"",IF($B12=C$7,"—",IFERROR(IF(INDEX(Schedule!$P$6:$P$125,MATCH($B12&amp;"|"&amp;C$7,Schedule!$Q$6:$Q$125,0))=1,INDEX(Schedule!$E$6:$E$125,MATCH($B12&amp;"|"&amp;C$7,Schedule!$Q$6:$Q$125,0))&amp;"–"&amp;INDEX(Schedule!$F$6:$F$125,MATCH($B12&amp;"|"&amp;C$7,Schedule!$Q$6:$Q$125,0)),""),IFERROR(IF(INDEX(Schedule!$P$6:$P$125,MATCH($B12&amp;"|"&amp;C$7,Schedule!$R$6:$R$125,0))=1,INDEX(Schedule!$F$6:$F$125,MATCH($B12&amp;"|"&amp;C$7,Schedule!$R$6:$R$125,0))&amp;"–"&amp;INDEX(Schedule!$E$6:$E$125,MATCH($B12&amp;"|"&amp;C$7,Schedule!$R$6:$R$125,0)),""),""))))</f>
        <v>5–5</v>
      </c>
      <c r="D12" s="16" t="str">
        <f aca="false">IF(OR($B12="",D$7=""),"",IF($B12=D$7,"—",IFERROR(IF(INDEX(Schedule!$P$6:$P$125,MATCH($B12&amp;"|"&amp;D$7,Schedule!$Q$6:$Q$125,0))=1,INDEX(Schedule!$E$6:$E$125,MATCH($B12&amp;"|"&amp;D$7,Schedule!$Q$6:$Q$125,0))&amp;"–"&amp;INDEX(Schedule!$F$6:$F$125,MATCH($B12&amp;"|"&amp;D$7,Schedule!$Q$6:$Q$125,0)),""),IFERROR(IF(INDEX(Schedule!$P$6:$P$125,MATCH($B12&amp;"|"&amp;D$7,Schedule!$R$6:$R$125,0))=1,INDEX(Schedule!$F$6:$F$125,MATCH($B12&amp;"|"&amp;D$7,Schedule!$R$6:$R$125,0))&amp;"–"&amp;INDEX(Schedule!$E$6:$E$125,MATCH($B12&amp;"|"&amp;D$7,Schedule!$R$6:$R$125,0)),""),""))))</f>
        <v/>
      </c>
      <c r="E12" s="16" t="str">
        <f aca="false">IF(OR($B12="",E$7=""),"",IF($B12=E$7,"—",IFERROR(IF(INDEX(Schedule!$P$6:$P$125,MATCH($B12&amp;"|"&amp;E$7,Schedule!$Q$6:$Q$125,0))=1,INDEX(Schedule!$E$6:$E$125,MATCH($B12&amp;"|"&amp;E$7,Schedule!$Q$6:$Q$125,0))&amp;"–"&amp;INDEX(Schedule!$F$6:$F$125,MATCH($B12&amp;"|"&amp;E$7,Schedule!$Q$6:$Q$125,0)),""),IFERROR(IF(INDEX(Schedule!$P$6:$P$125,MATCH($B12&amp;"|"&amp;E$7,Schedule!$R$6:$R$125,0))=1,INDEX(Schedule!$F$6:$F$125,MATCH($B12&amp;"|"&amp;E$7,Schedule!$R$6:$R$125,0))&amp;"–"&amp;INDEX(Schedule!$E$6:$E$125,MATCH($B12&amp;"|"&amp;E$7,Schedule!$R$6:$R$125,0)),""),""))))</f>
        <v/>
      </c>
      <c r="F12" s="16" t="str">
        <f aca="false">IF(OR($B12="",F$7=""),"",IF($B12=F$7,"—",IFERROR(IF(INDEX(Schedule!$P$6:$P$125,MATCH($B12&amp;"|"&amp;F$7,Schedule!$Q$6:$Q$125,0))=1,INDEX(Schedule!$E$6:$E$125,MATCH($B12&amp;"|"&amp;F$7,Schedule!$Q$6:$Q$125,0))&amp;"–"&amp;INDEX(Schedule!$F$6:$F$125,MATCH($B12&amp;"|"&amp;F$7,Schedule!$Q$6:$Q$125,0)),""),IFERROR(IF(INDEX(Schedule!$P$6:$P$125,MATCH($B12&amp;"|"&amp;F$7,Schedule!$R$6:$R$125,0))=1,INDEX(Schedule!$F$6:$F$125,MATCH($B12&amp;"|"&amp;F$7,Schedule!$R$6:$R$125,0))&amp;"–"&amp;INDEX(Schedule!$E$6:$E$125,MATCH($B12&amp;"|"&amp;F$7,Schedule!$R$6:$R$125,0)),""),""))))</f>
        <v>2–6</v>
      </c>
      <c r="G12" s="16" t="str">
        <f aca="false">IF(OR($B12="",G$7=""),"",IF($B12=G$7,"—",IFERROR(IF(INDEX(Schedule!$P$6:$P$125,MATCH($B12&amp;"|"&amp;G$7,Schedule!$Q$6:$Q$125,0))=1,INDEX(Schedule!$E$6:$E$125,MATCH($B12&amp;"|"&amp;G$7,Schedule!$Q$6:$Q$125,0))&amp;"–"&amp;INDEX(Schedule!$F$6:$F$125,MATCH($B12&amp;"|"&amp;G$7,Schedule!$Q$6:$Q$125,0)),""),IFERROR(IF(INDEX(Schedule!$P$6:$P$125,MATCH($B12&amp;"|"&amp;G$7,Schedule!$R$6:$R$125,0))=1,INDEX(Schedule!$F$6:$F$125,MATCH($B12&amp;"|"&amp;G$7,Schedule!$R$6:$R$125,0))&amp;"–"&amp;INDEX(Schedule!$E$6:$E$125,MATCH($B12&amp;"|"&amp;G$7,Schedule!$R$6:$R$125,0)),""),""))))</f>
        <v>—</v>
      </c>
      <c r="H12" s="16" t="str">
        <f aca="false">IF(OR($B12="",H$7=""),"",IF($B12=H$7,"—",IFERROR(IF(INDEX(Schedule!$P$6:$P$125,MATCH($B12&amp;"|"&amp;H$7,Schedule!$Q$6:$Q$125,0))=1,INDEX(Schedule!$E$6:$E$125,MATCH($B12&amp;"|"&amp;H$7,Schedule!$Q$6:$Q$125,0))&amp;"–"&amp;INDEX(Schedule!$F$6:$F$125,MATCH($B12&amp;"|"&amp;H$7,Schedule!$Q$6:$Q$125,0)),""),IFERROR(IF(INDEX(Schedule!$P$6:$P$125,MATCH($B12&amp;"|"&amp;H$7,Schedule!$R$6:$R$125,0))=1,INDEX(Schedule!$F$6:$F$125,MATCH($B12&amp;"|"&amp;H$7,Schedule!$R$6:$R$125,0))&amp;"–"&amp;INDEX(Schedule!$E$6:$E$125,MATCH($B12&amp;"|"&amp;H$7,Schedule!$R$6:$R$125,0)),""),""))))</f>
        <v>6–1</v>
      </c>
      <c r="I12" s="16" t="str">
        <f aca="false">IF(OR($B12="",I$7=""),"",IF($B12=I$7,"—",IFERROR(IF(INDEX(Schedule!$P$6:$P$125,MATCH($B12&amp;"|"&amp;I$7,Schedule!$Q$6:$Q$125,0))=1,INDEX(Schedule!$E$6:$E$125,MATCH($B12&amp;"|"&amp;I$7,Schedule!$Q$6:$Q$125,0))&amp;"–"&amp;INDEX(Schedule!$F$6:$F$125,MATCH($B12&amp;"|"&amp;I$7,Schedule!$Q$6:$Q$125,0)),""),IFERROR(IF(INDEX(Schedule!$P$6:$P$125,MATCH($B12&amp;"|"&amp;I$7,Schedule!$R$6:$R$125,0))=1,INDEX(Schedule!$F$6:$F$125,MATCH($B12&amp;"|"&amp;I$7,Schedule!$R$6:$R$125,0))&amp;"–"&amp;INDEX(Schedule!$E$6:$E$125,MATCH($B12&amp;"|"&amp;I$7,Schedule!$R$6:$R$125,0)),""),""))))</f>
        <v/>
      </c>
      <c r="J12" s="16" t="str">
        <f aca="false">IF(OR($B12="",J$7=""),"",IF($B12=J$7,"—",IFERROR(IF(INDEX(Schedule!$P$6:$P$125,MATCH($B12&amp;"|"&amp;J$7,Schedule!$Q$6:$Q$125,0))=1,INDEX(Schedule!$E$6:$E$125,MATCH($B12&amp;"|"&amp;J$7,Schedule!$Q$6:$Q$125,0))&amp;"–"&amp;INDEX(Schedule!$F$6:$F$125,MATCH($B12&amp;"|"&amp;J$7,Schedule!$Q$6:$Q$125,0)),""),IFERROR(IF(INDEX(Schedule!$P$6:$P$125,MATCH($B12&amp;"|"&amp;J$7,Schedule!$R$6:$R$125,0))=1,INDEX(Schedule!$F$6:$F$125,MATCH($B12&amp;"|"&amp;J$7,Schedule!$R$6:$R$125,0))&amp;"–"&amp;INDEX(Schedule!$E$6:$E$125,MATCH($B12&amp;"|"&amp;J$7,Schedule!$R$6:$R$125,0)),""),""))))</f>
        <v/>
      </c>
      <c r="K12" s="16" t="str">
        <f aca="false">IF(OR($B12="",K$7=""),"",IF($B12=K$7,"—",IFERROR(IF(INDEX(Schedule!$P$6:$P$125,MATCH($B12&amp;"|"&amp;K$7,Schedule!$Q$6:$Q$125,0))=1,INDEX(Schedule!$E$6:$E$125,MATCH($B12&amp;"|"&amp;K$7,Schedule!$Q$6:$Q$125,0))&amp;"–"&amp;INDEX(Schedule!$F$6:$F$125,MATCH($B12&amp;"|"&amp;K$7,Schedule!$Q$6:$Q$125,0)),""),IFERROR(IF(INDEX(Schedule!$P$6:$P$125,MATCH($B12&amp;"|"&amp;K$7,Schedule!$R$6:$R$125,0))=1,INDEX(Schedule!$F$6:$F$125,MATCH($B12&amp;"|"&amp;K$7,Schedule!$R$6:$R$125,0))&amp;"–"&amp;INDEX(Schedule!$E$6:$E$125,MATCH($B12&amp;"|"&amp;K$7,Schedule!$R$6:$R$125,0)),""),""))))</f>
        <v/>
      </c>
      <c r="L12" s="16" t="str">
        <f aca="false">IF(OR($B12="",L$7=""),"",IF($B12=L$7,"—",IFERROR(IF(INDEX(Schedule!$P$6:$P$125,MATCH($B12&amp;"|"&amp;L$7,Schedule!$Q$6:$Q$125,0))=1,INDEX(Schedule!$E$6:$E$125,MATCH($B12&amp;"|"&amp;L$7,Schedule!$Q$6:$Q$125,0))&amp;"–"&amp;INDEX(Schedule!$F$6:$F$125,MATCH($B12&amp;"|"&amp;L$7,Schedule!$Q$6:$Q$125,0)),""),IFERROR(IF(INDEX(Schedule!$P$6:$P$125,MATCH($B12&amp;"|"&amp;L$7,Schedule!$R$6:$R$125,0))=1,INDEX(Schedule!$F$6:$F$125,MATCH($B12&amp;"|"&amp;L$7,Schedule!$R$6:$R$125,0))&amp;"–"&amp;INDEX(Schedule!$E$6:$E$125,MATCH($B12&amp;"|"&amp;L$7,Schedule!$R$6:$R$125,0)),""),""))))</f>
        <v/>
      </c>
      <c r="M12" s="16" t="str">
        <f aca="false">IF(OR($B12="",M$7=""),"",IF($B12=M$7,"—",IFERROR(IF(INDEX(Schedule!$P$6:$P$125,MATCH($B12&amp;"|"&amp;M$7,Schedule!$Q$6:$Q$125,0))=1,INDEX(Schedule!$E$6:$E$125,MATCH($B12&amp;"|"&amp;M$7,Schedule!$Q$6:$Q$125,0))&amp;"–"&amp;INDEX(Schedule!$F$6:$F$125,MATCH($B12&amp;"|"&amp;M$7,Schedule!$Q$6:$Q$125,0)),""),IFERROR(IF(INDEX(Schedule!$P$6:$P$125,MATCH($B12&amp;"|"&amp;M$7,Schedule!$R$6:$R$125,0))=1,INDEX(Schedule!$F$6:$F$125,MATCH($B12&amp;"|"&amp;M$7,Schedule!$R$6:$R$125,0))&amp;"–"&amp;INDEX(Schedule!$E$6:$E$125,MATCH($B12&amp;"|"&amp;M$7,Schedule!$R$6:$R$125,0)),""),""))))</f>
        <v/>
      </c>
      <c r="N12" s="16" t="str">
        <f aca="false">IF(OR($B12="",N$7=""),"",IF($B12=N$7,"—",IFERROR(IF(INDEX(Schedule!$P$6:$P$125,MATCH($B12&amp;"|"&amp;N$7,Schedule!$Q$6:$Q$125,0))=1,INDEX(Schedule!$E$6:$E$125,MATCH($B12&amp;"|"&amp;N$7,Schedule!$Q$6:$Q$125,0))&amp;"–"&amp;INDEX(Schedule!$F$6:$F$125,MATCH($B12&amp;"|"&amp;N$7,Schedule!$Q$6:$Q$125,0)),""),IFERROR(IF(INDEX(Schedule!$P$6:$P$125,MATCH($B12&amp;"|"&amp;N$7,Schedule!$R$6:$R$125,0))=1,INDEX(Schedule!$F$6:$F$125,MATCH($B12&amp;"|"&amp;N$7,Schedule!$R$6:$R$125,0))&amp;"–"&amp;INDEX(Schedule!$E$6:$E$125,MATCH($B12&amp;"|"&amp;N$7,Schedule!$R$6:$R$125,0)),""),""))))</f>
        <v/>
      </c>
      <c r="O12" s="16" t="str">
        <f aca="false">IF(OR($B12="",O$7=""),"",IF($B12=O$7,"—",IFERROR(IF(INDEX(Schedule!$P$6:$P$125,MATCH($B12&amp;"|"&amp;O$7,Schedule!$Q$6:$Q$125,0))=1,INDEX(Schedule!$E$6:$E$125,MATCH($B12&amp;"|"&amp;O$7,Schedule!$Q$6:$Q$125,0))&amp;"–"&amp;INDEX(Schedule!$F$6:$F$125,MATCH($B12&amp;"|"&amp;O$7,Schedule!$Q$6:$Q$125,0)),""),IFERROR(IF(INDEX(Schedule!$P$6:$P$125,MATCH($B12&amp;"|"&amp;O$7,Schedule!$R$6:$R$125,0))=1,INDEX(Schedule!$F$6:$F$125,MATCH($B12&amp;"|"&amp;O$7,Schedule!$R$6:$R$125,0))&amp;"–"&amp;INDEX(Schedule!$E$6:$E$125,MATCH($B12&amp;"|"&amp;O$7,Schedule!$R$6:$R$125,0)),""),""))))</f>
        <v/>
      </c>
      <c r="P12" s="16" t="str">
        <f aca="false">IF(OR($B12="",P$7=""),"",IF($B12=P$7,"—",IFERROR(IF(INDEX(Schedule!$P$6:$P$125,MATCH($B12&amp;"|"&amp;P$7,Schedule!$Q$6:$Q$125,0))=1,INDEX(Schedule!$E$6:$E$125,MATCH($B12&amp;"|"&amp;P$7,Schedule!$Q$6:$Q$125,0))&amp;"–"&amp;INDEX(Schedule!$F$6:$F$125,MATCH($B12&amp;"|"&amp;P$7,Schedule!$Q$6:$Q$125,0)),""),IFERROR(IF(INDEX(Schedule!$P$6:$P$125,MATCH($B12&amp;"|"&amp;P$7,Schedule!$R$6:$R$125,0))=1,INDEX(Schedule!$F$6:$F$125,MATCH($B12&amp;"|"&amp;P$7,Schedule!$R$6:$R$125,0))&amp;"–"&amp;INDEX(Schedule!$E$6:$E$125,MATCH($B12&amp;"|"&amp;P$7,Schedule!$R$6:$R$125,0)),""),""))))</f>
        <v/>
      </c>
      <c r="Q12" s="16" t="str">
        <f aca="false">IF(OR($B12="",Q$7=""),"",IF($B12=Q$7,"—",IFERROR(IF(INDEX(Schedule!$P$6:$P$125,MATCH($B12&amp;"|"&amp;Q$7,Schedule!$Q$6:$Q$125,0))=1,INDEX(Schedule!$E$6:$E$125,MATCH($B12&amp;"|"&amp;Q$7,Schedule!$Q$6:$Q$125,0))&amp;"–"&amp;INDEX(Schedule!$F$6:$F$125,MATCH($B12&amp;"|"&amp;Q$7,Schedule!$Q$6:$Q$125,0)),""),IFERROR(IF(INDEX(Schedule!$P$6:$P$125,MATCH($B12&amp;"|"&amp;Q$7,Schedule!$R$6:$R$125,0))=1,INDEX(Schedule!$F$6:$F$125,MATCH($B12&amp;"|"&amp;Q$7,Schedule!$R$6:$R$125,0))&amp;"–"&amp;INDEX(Schedule!$E$6:$E$125,MATCH($B12&amp;"|"&amp;Q$7,Schedule!$R$6:$R$125,0)),""),""))))</f>
        <v/>
      </c>
      <c r="R12" s="16" t="str">
        <f aca="false">IF(OR($B12="",R$7=""),"",IF($B12=R$7,"—",IFERROR(IF(INDEX(Schedule!$P$6:$P$125,MATCH($B12&amp;"|"&amp;R$7,Schedule!$Q$6:$Q$125,0))=1,INDEX(Schedule!$E$6:$E$125,MATCH($B12&amp;"|"&amp;R$7,Schedule!$Q$6:$Q$125,0))&amp;"–"&amp;INDEX(Schedule!$F$6:$F$125,MATCH($B12&amp;"|"&amp;R$7,Schedule!$Q$6:$Q$125,0)),""),IFERROR(IF(INDEX(Schedule!$P$6:$P$125,MATCH($B12&amp;"|"&amp;R$7,Schedule!$R$6:$R$125,0))=1,INDEX(Schedule!$F$6:$F$125,MATCH($B12&amp;"|"&amp;R$7,Schedule!$R$6:$R$125,0))&amp;"–"&amp;INDEX(Schedule!$E$6:$E$125,MATCH($B12&amp;"|"&amp;R$7,Schedule!$R$6:$R$125,0)),""),""))))</f>
        <v/>
      </c>
    </row>
    <row r="13" customFormat="false" ht="15" hidden="false" customHeight="false" outlineLevel="0" collapsed="false">
      <c r="B13" s="27" t="str">
        <f aca="false">IF(Setup!$C$21="","",Setup!$C$21)</f>
        <v>Felix</v>
      </c>
      <c r="C13" s="16" t="str">
        <f aca="false">IF(OR($B13="",C$7=""),"",IF($B13=C$7,"—",IFERROR(IF(INDEX(Schedule!$P$6:$P$125,MATCH($B13&amp;"|"&amp;C$7,Schedule!$Q$6:$Q$125,0))=1,INDEX(Schedule!$E$6:$E$125,MATCH($B13&amp;"|"&amp;C$7,Schedule!$Q$6:$Q$125,0))&amp;"–"&amp;INDEX(Schedule!$F$6:$F$125,MATCH($B13&amp;"|"&amp;C$7,Schedule!$Q$6:$Q$125,0)),""),IFERROR(IF(INDEX(Schedule!$P$6:$P$125,MATCH($B13&amp;"|"&amp;C$7,Schedule!$R$6:$R$125,0))=1,INDEX(Schedule!$F$6:$F$125,MATCH($B13&amp;"|"&amp;C$7,Schedule!$R$6:$R$125,0))&amp;"–"&amp;INDEX(Schedule!$E$6:$E$125,MATCH($B13&amp;"|"&amp;C$7,Schedule!$R$6:$R$125,0)),""),""))))</f>
        <v/>
      </c>
      <c r="D13" s="16" t="str">
        <f aca="false">IF(OR($B13="",D$7=""),"",IF($B13=D$7,"—",IFERROR(IF(INDEX(Schedule!$P$6:$P$125,MATCH($B13&amp;"|"&amp;D$7,Schedule!$Q$6:$Q$125,0))=1,INDEX(Schedule!$E$6:$E$125,MATCH($B13&amp;"|"&amp;D$7,Schedule!$Q$6:$Q$125,0))&amp;"–"&amp;INDEX(Schedule!$F$6:$F$125,MATCH($B13&amp;"|"&amp;D$7,Schedule!$Q$6:$Q$125,0)),""),IFERROR(IF(INDEX(Schedule!$P$6:$P$125,MATCH($B13&amp;"|"&amp;D$7,Schedule!$R$6:$R$125,0))=1,INDEX(Schedule!$F$6:$F$125,MATCH($B13&amp;"|"&amp;D$7,Schedule!$R$6:$R$125,0))&amp;"–"&amp;INDEX(Schedule!$E$6:$E$125,MATCH($B13&amp;"|"&amp;D$7,Schedule!$R$6:$R$125,0)),""),""))))</f>
        <v/>
      </c>
      <c r="E13" s="16" t="str">
        <f aca="false">IF(OR($B13="",E$7=""),"",IF($B13=E$7,"—",IFERROR(IF(INDEX(Schedule!$P$6:$P$125,MATCH($B13&amp;"|"&amp;E$7,Schedule!$Q$6:$Q$125,0))=1,INDEX(Schedule!$E$6:$E$125,MATCH($B13&amp;"|"&amp;E$7,Schedule!$Q$6:$Q$125,0))&amp;"–"&amp;INDEX(Schedule!$F$6:$F$125,MATCH($B13&amp;"|"&amp;E$7,Schedule!$Q$6:$Q$125,0)),""),IFERROR(IF(INDEX(Schedule!$P$6:$P$125,MATCH($B13&amp;"|"&amp;E$7,Schedule!$R$6:$R$125,0))=1,INDEX(Schedule!$F$6:$F$125,MATCH($B13&amp;"|"&amp;E$7,Schedule!$R$6:$R$125,0))&amp;"–"&amp;INDEX(Schedule!$E$6:$E$125,MATCH($B13&amp;"|"&amp;E$7,Schedule!$R$6:$R$125,0)),""),""))))</f>
        <v>6–4</v>
      </c>
      <c r="F13" s="16" t="str">
        <f aca="false">IF(OR($B13="",F$7=""),"",IF($B13=F$7,"—",IFERROR(IF(INDEX(Schedule!$P$6:$P$125,MATCH($B13&amp;"|"&amp;F$7,Schedule!$Q$6:$Q$125,0))=1,INDEX(Schedule!$E$6:$E$125,MATCH($B13&amp;"|"&amp;F$7,Schedule!$Q$6:$Q$125,0))&amp;"–"&amp;INDEX(Schedule!$F$6:$F$125,MATCH($B13&amp;"|"&amp;F$7,Schedule!$Q$6:$Q$125,0)),""),IFERROR(IF(INDEX(Schedule!$P$6:$P$125,MATCH($B13&amp;"|"&amp;F$7,Schedule!$R$6:$R$125,0))=1,INDEX(Schedule!$F$6:$F$125,MATCH($B13&amp;"|"&amp;F$7,Schedule!$R$6:$R$125,0))&amp;"–"&amp;INDEX(Schedule!$E$6:$E$125,MATCH($B13&amp;"|"&amp;F$7,Schedule!$R$6:$R$125,0)),""),""))))</f>
        <v/>
      </c>
      <c r="G13" s="16" t="str">
        <f aca="false">IF(OR($B13="",G$7=""),"",IF($B13=G$7,"—",IFERROR(IF(INDEX(Schedule!$P$6:$P$125,MATCH($B13&amp;"|"&amp;G$7,Schedule!$Q$6:$Q$125,0))=1,INDEX(Schedule!$E$6:$E$125,MATCH($B13&amp;"|"&amp;G$7,Schedule!$Q$6:$Q$125,0))&amp;"–"&amp;INDEX(Schedule!$F$6:$F$125,MATCH($B13&amp;"|"&amp;G$7,Schedule!$Q$6:$Q$125,0)),""),IFERROR(IF(INDEX(Schedule!$P$6:$P$125,MATCH($B13&amp;"|"&amp;G$7,Schedule!$R$6:$R$125,0))=1,INDEX(Schedule!$F$6:$F$125,MATCH($B13&amp;"|"&amp;G$7,Schedule!$R$6:$R$125,0))&amp;"–"&amp;INDEX(Schedule!$E$6:$E$125,MATCH($B13&amp;"|"&amp;G$7,Schedule!$R$6:$R$125,0)),""),""))))</f>
        <v>1–6</v>
      </c>
      <c r="H13" s="16" t="str">
        <f aca="false">IF(OR($B13="",H$7=""),"",IF($B13=H$7,"—",IFERROR(IF(INDEX(Schedule!$P$6:$P$125,MATCH($B13&amp;"|"&amp;H$7,Schedule!$Q$6:$Q$125,0))=1,INDEX(Schedule!$E$6:$E$125,MATCH($B13&amp;"|"&amp;H$7,Schedule!$Q$6:$Q$125,0))&amp;"–"&amp;INDEX(Schedule!$F$6:$F$125,MATCH($B13&amp;"|"&amp;H$7,Schedule!$Q$6:$Q$125,0)),""),IFERROR(IF(INDEX(Schedule!$P$6:$P$125,MATCH($B13&amp;"|"&amp;H$7,Schedule!$R$6:$R$125,0))=1,INDEX(Schedule!$F$6:$F$125,MATCH($B13&amp;"|"&amp;H$7,Schedule!$R$6:$R$125,0))&amp;"–"&amp;INDEX(Schedule!$E$6:$E$125,MATCH($B13&amp;"|"&amp;H$7,Schedule!$R$6:$R$125,0)),""),""))))</f>
        <v>—</v>
      </c>
      <c r="I13" s="16" t="str">
        <f aca="false">IF(OR($B13="",I$7=""),"",IF($B13=I$7,"—",IFERROR(IF(INDEX(Schedule!$P$6:$P$125,MATCH($B13&amp;"|"&amp;I$7,Schedule!$Q$6:$Q$125,0))=1,INDEX(Schedule!$E$6:$E$125,MATCH($B13&amp;"|"&amp;I$7,Schedule!$Q$6:$Q$125,0))&amp;"–"&amp;INDEX(Schedule!$F$6:$F$125,MATCH($B13&amp;"|"&amp;I$7,Schedule!$Q$6:$Q$125,0)),""),IFERROR(IF(INDEX(Schedule!$P$6:$P$125,MATCH($B13&amp;"|"&amp;I$7,Schedule!$R$6:$R$125,0))=1,INDEX(Schedule!$F$6:$F$125,MATCH($B13&amp;"|"&amp;I$7,Schedule!$R$6:$R$125,0))&amp;"–"&amp;INDEX(Schedule!$E$6:$E$125,MATCH($B13&amp;"|"&amp;I$7,Schedule!$R$6:$R$125,0)),""),""))))</f>
        <v>6–0</v>
      </c>
      <c r="J13" s="16" t="str">
        <f aca="false">IF(OR($B13="",J$7=""),"",IF($B13=J$7,"—",IFERROR(IF(INDEX(Schedule!$P$6:$P$125,MATCH($B13&amp;"|"&amp;J$7,Schedule!$Q$6:$Q$125,0))=1,INDEX(Schedule!$E$6:$E$125,MATCH($B13&amp;"|"&amp;J$7,Schedule!$Q$6:$Q$125,0))&amp;"–"&amp;INDEX(Schedule!$F$6:$F$125,MATCH($B13&amp;"|"&amp;J$7,Schedule!$Q$6:$Q$125,0)),""),IFERROR(IF(INDEX(Schedule!$P$6:$P$125,MATCH($B13&amp;"|"&amp;J$7,Schedule!$R$6:$R$125,0))=1,INDEX(Schedule!$F$6:$F$125,MATCH($B13&amp;"|"&amp;J$7,Schedule!$R$6:$R$125,0))&amp;"–"&amp;INDEX(Schedule!$E$6:$E$125,MATCH($B13&amp;"|"&amp;J$7,Schedule!$R$6:$R$125,0)),""),""))))</f>
        <v/>
      </c>
      <c r="K13" s="16" t="str">
        <f aca="false">IF(OR($B13="",K$7=""),"",IF($B13=K$7,"—",IFERROR(IF(INDEX(Schedule!$P$6:$P$125,MATCH($B13&amp;"|"&amp;K$7,Schedule!$Q$6:$Q$125,0))=1,INDEX(Schedule!$E$6:$E$125,MATCH($B13&amp;"|"&amp;K$7,Schedule!$Q$6:$Q$125,0))&amp;"–"&amp;INDEX(Schedule!$F$6:$F$125,MATCH($B13&amp;"|"&amp;K$7,Schedule!$Q$6:$Q$125,0)),""),IFERROR(IF(INDEX(Schedule!$P$6:$P$125,MATCH($B13&amp;"|"&amp;K$7,Schedule!$R$6:$R$125,0))=1,INDEX(Schedule!$F$6:$F$125,MATCH($B13&amp;"|"&amp;K$7,Schedule!$R$6:$R$125,0))&amp;"–"&amp;INDEX(Schedule!$E$6:$E$125,MATCH($B13&amp;"|"&amp;K$7,Schedule!$R$6:$R$125,0)),""),""))))</f>
        <v/>
      </c>
      <c r="L13" s="16" t="str">
        <f aca="false">IF(OR($B13="",L$7=""),"",IF($B13=L$7,"—",IFERROR(IF(INDEX(Schedule!$P$6:$P$125,MATCH($B13&amp;"|"&amp;L$7,Schedule!$Q$6:$Q$125,0))=1,INDEX(Schedule!$E$6:$E$125,MATCH($B13&amp;"|"&amp;L$7,Schedule!$Q$6:$Q$125,0))&amp;"–"&amp;INDEX(Schedule!$F$6:$F$125,MATCH($B13&amp;"|"&amp;L$7,Schedule!$Q$6:$Q$125,0)),""),IFERROR(IF(INDEX(Schedule!$P$6:$P$125,MATCH($B13&amp;"|"&amp;L$7,Schedule!$R$6:$R$125,0))=1,INDEX(Schedule!$F$6:$F$125,MATCH($B13&amp;"|"&amp;L$7,Schedule!$R$6:$R$125,0))&amp;"–"&amp;INDEX(Schedule!$E$6:$E$125,MATCH($B13&amp;"|"&amp;L$7,Schedule!$R$6:$R$125,0)),""),""))))</f>
        <v/>
      </c>
      <c r="M13" s="16" t="str">
        <f aca="false">IF(OR($B13="",M$7=""),"",IF($B13=M$7,"—",IFERROR(IF(INDEX(Schedule!$P$6:$P$125,MATCH($B13&amp;"|"&amp;M$7,Schedule!$Q$6:$Q$125,0))=1,INDEX(Schedule!$E$6:$E$125,MATCH($B13&amp;"|"&amp;M$7,Schedule!$Q$6:$Q$125,0))&amp;"–"&amp;INDEX(Schedule!$F$6:$F$125,MATCH($B13&amp;"|"&amp;M$7,Schedule!$Q$6:$Q$125,0)),""),IFERROR(IF(INDEX(Schedule!$P$6:$P$125,MATCH($B13&amp;"|"&amp;M$7,Schedule!$R$6:$R$125,0))=1,INDEX(Schedule!$F$6:$F$125,MATCH($B13&amp;"|"&amp;M$7,Schedule!$R$6:$R$125,0))&amp;"–"&amp;INDEX(Schedule!$E$6:$E$125,MATCH($B13&amp;"|"&amp;M$7,Schedule!$R$6:$R$125,0)),""),""))))</f>
        <v/>
      </c>
      <c r="N13" s="16" t="str">
        <f aca="false">IF(OR($B13="",N$7=""),"",IF($B13=N$7,"—",IFERROR(IF(INDEX(Schedule!$P$6:$P$125,MATCH($B13&amp;"|"&amp;N$7,Schedule!$Q$6:$Q$125,0))=1,INDEX(Schedule!$E$6:$E$125,MATCH($B13&amp;"|"&amp;N$7,Schedule!$Q$6:$Q$125,0))&amp;"–"&amp;INDEX(Schedule!$F$6:$F$125,MATCH($B13&amp;"|"&amp;N$7,Schedule!$Q$6:$Q$125,0)),""),IFERROR(IF(INDEX(Schedule!$P$6:$P$125,MATCH($B13&amp;"|"&amp;N$7,Schedule!$R$6:$R$125,0))=1,INDEX(Schedule!$F$6:$F$125,MATCH($B13&amp;"|"&amp;N$7,Schedule!$R$6:$R$125,0))&amp;"–"&amp;INDEX(Schedule!$E$6:$E$125,MATCH($B13&amp;"|"&amp;N$7,Schedule!$R$6:$R$125,0)),""),""))))</f>
        <v/>
      </c>
      <c r="O13" s="16" t="str">
        <f aca="false">IF(OR($B13="",O$7=""),"",IF($B13=O$7,"—",IFERROR(IF(INDEX(Schedule!$P$6:$P$125,MATCH($B13&amp;"|"&amp;O$7,Schedule!$Q$6:$Q$125,0))=1,INDEX(Schedule!$E$6:$E$125,MATCH($B13&amp;"|"&amp;O$7,Schedule!$Q$6:$Q$125,0))&amp;"–"&amp;INDEX(Schedule!$F$6:$F$125,MATCH($B13&amp;"|"&amp;O$7,Schedule!$Q$6:$Q$125,0)),""),IFERROR(IF(INDEX(Schedule!$P$6:$P$125,MATCH($B13&amp;"|"&amp;O$7,Schedule!$R$6:$R$125,0))=1,INDEX(Schedule!$F$6:$F$125,MATCH($B13&amp;"|"&amp;O$7,Schedule!$R$6:$R$125,0))&amp;"–"&amp;INDEX(Schedule!$E$6:$E$125,MATCH($B13&amp;"|"&amp;O$7,Schedule!$R$6:$R$125,0)),""),""))))</f>
        <v/>
      </c>
      <c r="P13" s="16" t="str">
        <f aca="false">IF(OR($B13="",P$7=""),"",IF($B13=P$7,"—",IFERROR(IF(INDEX(Schedule!$P$6:$P$125,MATCH($B13&amp;"|"&amp;P$7,Schedule!$Q$6:$Q$125,0))=1,INDEX(Schedule!$E$6:$E$125,MATCH($B13&amp;"|"&amp;P$7,Schedule!$Q$6:$Q$125,0))&amp;"–"&amp;INDEX(Schedule!$F$6:$F$125,MATCH($B13&amp;"|"&amp;P$7,Schedule!$Q$6:$Q$125,0)),""),IFERROR(IF(INDEX(Schedule!$P$6:$P$125,MATCH($B13&amp;"|"&amp;P$7,Schedule!$R$6:$R$125,0))=1,INDEX(Schedule!$F$6:$F$125,MATCH($B13&amp;"|"&amp;P$7,Schedule!$R$6:$R$125,0))&amp;"–"&amp;INDEX(Schedule!$E$6:$E$125,MATCH($B13&amp;"|"&amp;P$7,Schedule!$R$6:$R$125,0)),""),""))))</f>
        <v/>
      </c>
      <c r="Q13" s="16" t="str">
        <f aca="false">IF(OR($B13="",Q$7=""),"",IF($B13=Q$7,"—",IFERROR(IF(INDEX(Schedule!$P$6:$P$125,MATCH($B13&amp;"|"&amp;Q$7,Schedule!$Q$6:$Q$125,0))=1,INDEX(Schedule!$E$6:$E$125,MATCH($B13&amp;"|"&amp;Q$7,Schedule!$Q$6:$Q$125,0))&amp;"–"&amp;INDEX(Schedule!$F$6:$F$125,MATCH($B13&amp;"|"&amp;Q$7,Schedule!$Q$6:$Q$125,0)),""),IFERROR(IF(INDEX(Schedule!$P$6:$P$125,MATCH($B13&amp;"|"&amp;Q$7,Schedule!$R$6:$R$125,0))=1,INDEX(Schedule!$F$6:$F$125,MATCH($B13&amp;"|"&amp;Q$7,Schedule!$R$6:$R$125,0))&amp;"–"&amp;INDEX(Schedule!$E$6:$E$125,MATCH($B13&amp;"|"&amp;Q$7,Schedule!$R$6:$R$125,0)),""),""))))</f>
        <v/>
      </c>
      <c r="R13" s="16" t="str">
        <f aca="false">IF(OR($B13="",R$7=""),"",IF($B13=R$7,"—",IFERROR(IF(INDEX(Schedule!$P$6:$P$125,MATCH($B13&amp;"|"&amp;R$7,Schedule!$Q$6:$Q$125,0))=1,INDEX(Schedule!$E$6:$E$125,MATCH($B13&amp;"|"&amp;R$7,Schedule!$Q$6:$Q$125,0))&amp;"–"&amp;INDEX(Schedule!$F$6:$F$125,MATCH($B13&amp;"|"&amp;R$7,Schedule!$Q$6:$Q$125,0)),""),IFERROR(IF(INDEX(Schedule!$P$6:$P$125,MATCH($B13&amp;"|"&amp;R$7,Schedule!$R$6:$R$125,0))=1,INDEX(Schedule!$F$6:$F$125,MATCH($B13&amp;"|"&amp;R$7,Schedule!$R$6:$R$125,0))&amp;"–"&amp;INDEX(Schedule!$E$6:$E$125,MATCH($B13&amp;"|"&amp;R$7,Schedule!$R$6:$R$125,0)),""),""))))</f>
        <v/>
      </c>
    </row>
    <row r="14" customFormat="false" ht="15" hidden="false" customHeight="false" outlineLevel="0" collapsed="false">
      <c r="B14" s="27" t="str">
        <f aca="false">IF(Setup!$C$22="","",Setup!$C$22)</f>
        <v>Grace</v>
      </c>
      <c r="C14" s="16" t="str">
        <f aca="false">IF(OR($B14="",C$7=""),"",IF($B14=C$7,"—",IFERROR(IF(INDEX(Schedule!$P$6:$P$125,MATCH($B14&amp;"|"&amp;C$7,Schedule!$Q$6:$Q$125,0))=1,INDEX(Schedule!$E$6:$E$125,MATCH($B14&amp;"|"&amp;C$7,Schedule!$Q$6:$Q$125,0))&amp;"–"&amp;INDEX(Schedule!$F$6:$F$125,MATCH($B14&amp;"|"&amp;C$7,Schedule!$Q$6:$Q$125,0)),""),IFERROR(IF(INDEX(Schedule!$P$6:$P$125,MATCH($B14&amp;"|"&amp;C$7,Schedule!$R$6:$R$125,0))=1,INDEX(Schedule!$F$6:$F$125,MATCH($B14&amp;"|"&amp;C$7,Schedule!$R$6:$R$125,0))&amp;"–"&amp;INDEX(Schedule!$E$6:$E$125,MATCH($B14&amp;"|"&amp;C$7,Schedule!$R$6:$R$125,0)),""),""))))</f>
        <v/>
      </c>
      <c r="D14" s="16" t="str">
        <f aca="false">IF(OR($B14="",D$7=""),"",IF($B14=D$7,"—",IFERROR(IF(INDEX(Schedule!$P$6:$P$125,MATCH($B14&amp;"|"&amp;D$7,Schedule!$Q$6:$Q$125,0))=1,INDEX(Schedule!$E$6:$E$125,MATCH($B14&amp;"|"&amp;D$7,Schedule!$Q$6:$Q$125,0))&amp;"–"&amp;INDEX(Schedule!$F$6:$F$125,MATCH($B14&amp;"|"&amp;D$7,Schedule!$Q$6:$Q$125,0)),""),IFERROR(IF(INDEX(Schedule!$P$6:$P$125,MATCH($B14&amp;"|"&amp;D$7,Schedule!$R$6:$R$125,0))=1,INDEX(Schedule!$F$6:$F$125,MATCH($B14&amp;"|"&amp;D$7,Schedule!$R$6:$R$125,0))&amp;"–"&amp;INDEX(Schedule!$E$6:$E$125,MATCH($B14&amp;"|"&amp;D$7,Schedule!$R$6:$R$125,0)),""),""))))</f>
        <v>3–6</v>
      </c>
      <c r="E14" s="16" t="str">
        <f aca="false">IF(OR($B14="",E$7=""),"",IF($B14=E$7,"—",IFERROR(IF(INDEX(Schedule!$P$6:$P$125,MATCH($B14&amp;"|"&amp;E$7,Schedule!$Q$6:$Q$125,0))=1,INDEX(Schedule!$E$6:$E$125,MATCH($B14&amp;"|"&amp;E$7,Schedule!$Q$6:$Q$125,0))&amp;"–"&amp;INDEX(Schedule!$F$6:$F$125,MATCH($B14&amp;"|"&amp;E$7,Schedule!$Q$6:$Q$125,0)),""),IFERROR(IF(INDEX(Schedule!$P$6:$P$125,MATCH($B14&amp;"|"&amp;E$7,Schedule!$R$6:$R$125,0))=1,INDEX(Schedule!$F$6:$F$125,MATCH($B14&amp;"|"&amp;E$7,Schedule!$R$6:$R$125,0))&amp;"–"&amp;INDEX(Schedule!$E$6:$E$125,MATCH($B14&amp;"|"&amp;E$7,Schedule!$R$6:$R$125,0)),""),""))))</f>
        <v/>
      </c>
      <c r="F14" s="16" t="str">
        <f aca="false">IF(OR($B14="",F$7=""),"",IF($B14=F$7,"—",IFERROR(IF(INDEX(Schedule!$P$6:$P$125,MATCH($B14&amp;"|"&amp;F$7,Schedule!$Q$6:$Q$125,0))=1,INDEX(Schedule!$E$6:$E$125,MATCH($B14&amp;"|"&amp;F$7,Schedule!$Q$6:$Q$125,0))&amp;"–"&amp;INDEX(Schedule!$F$6:$F$125,MATCH($B14&amp;"|"&amp;F$7,Schedule!$Q$6:$Q$125,0)),""),IFERROR(IF(INDEX(Schedule!$P$6:$P$125,MATCH($B14&amp;"|"&amp;F$7,Schedule!$R$6:$R$125,0))=1,INDEX(Schedule!$F$6:$F$125,MATCH($B14&amp;"|"&amp;F$7,Schedule!$R$6:$R$125,0))&amp;"–"&amp;INDEX(Schedule!$E$6:$E$125,MATCH($B14&amp;"|"&amp;F$7,Schedule!$R$6:$R$125,0)),""),""))))</f>
        <v>6–5</v>
      </c>
      <c r="G14" s="16" t="str">
        <f aca="false">IF(OR($B14="",G$7=""),"",IF($B14=G$7,"—",IFERROR(IF(INDEX(Schedule!$P$6:$P$125,MATCH($B14&amp;"|"&amp;G$7,Schedule!$Q$6:$Q$125,0))=1,INDEX(Schedule!$E$6:$E$125,MATCH($B14&amp;"|"&amp;G$7,Schedule!$Q$6:$Q$125,0))&amp;"–"&amp;INDEX(Schedule!$F$6:$F$125,MATCH($B14&amp;"|"&amp;G$7,Schedule!$Q$6:$Q$125,0)),""),IFERROR(IF(INDEX(Schedule!$P$6:$P$125,MATCH($B14&amp;"|"&amp;G$7,Schedule!$R$6:$R$125,0))=1,INDEX(Schedule!$F$6:$F$125,MATCH($B14&amp;"|"&amp;G$7,Schedule!$R$6:$R$125,0))&amp;"–"&amp;INDEX(Schedule!$E$6:$E$125,MATCH($B14&amp;"|"&amp;G$7,Schedule!$R$6:$R$125,0)),""),""))))</f>
        <v/>
      </c>
      <c r="H14" s="16" t="str">
        <f aca="false">IF(OR($B14="",H$7=""),"",IF($B14=H$7,"—",IFERROR(IF(INDEX(Schedule!$P$6:$P$125,MATCH($B14&amp;"|"&amp;H$7,Schedule!$Q$6:$Q$125,0))=1,INDEX(Schedule!$E$6:$E$125,MATCH($B14&amp;"|"&amp;H$7,Schedule!$Q$6:$Q$125,0))&amp;"–"&amp;INDEX(Schedule!$F$6:$F$125,MATCH($B14&amp;"|"&amp;H$7,Schedule!$Q$6:$Q$125,0)),""),IFERROR(IF(INDEX(Schedule!$P$6:$P$125,MATCH($B14&amp;"|"&amp;H$7,Schedule!$R$6:$R$125,0))=1,INDEX(Schedule!$F$6:$F$125,MATCH($B14&amp;"|"&amp;H$7,Schedule!$R$6:$R$125,0))&amp;"–"&amp;INDEX(Schedule!$E$6:$E$125,MATCH($B14&amp;"|"&amp;H$7,Schedule!$R$6:$R$125,0)),""),""))))</f>
        <v>0–6</v>
      </c>
      <c r="I14" s="16" t="str">
        <f aca="false">IF(OR($B14="",I$7=""),"",IF($B14=I$7,"—",IFERROR(IF(INDEX(Schedule!$P$6:$P$125,MATCH($B14&amp;"|"&amp;I$7,Schedule!$Q$6:$Q$125,0))=1,INDEX(Schedule!$E$6:$E$125,MATCH($B14&amp;"|"&amp;I$7,Schedule!$Q$6:$Q$125,0))&amp;"–"&amp;INDEX(Schedule!$F$6:$F$125,MATCH($B14&amp;"|"&amp;I$7,Schedule!$Q$6:$Q$125,0)),""),IFERROR(IF(INDEX(Schedule!$P$6:$P$125,MATCH($B14&amp;"|"&amp;I$7,Schedule!$R$6:$R$125,0))=1,INDEX(Schedule!$F$6:$F$125,MATCH($B14&amp;"|"&amp;I$7,Schedule!$R$6:$R$125,0))&amp;"–"&amp;INDEX(Schedule!$E$6:$E$125,MATCH($B14&amp;"|"&amp;I$7,Schedule!$R$6:$R$125,0)),""),""))))</f>
        <v>—</v>
      </c>
      <c r="J14" s="16" t="str">
        <f aca="false">IF(OR($B14="",J$7=""),"",IF($B14=J$7,"—",IFERROR(IF(INDEX(Schedule!$P$6:$P$125,MATCH($B14&amp;"|"&amp;J$7,Schedule!$Q$6:$Q$125,0))=1,INDEX(Schedule!$E$6:$E$125,MATCH($B14&amp;"|"&amp;J$7,Schedule!$Q$6:$Q$125,0))&amp;"–"&amp;INDEX(Schedule!$F$6:$F$125,MATCH($B14&amp;"|"&amp;J$7,Schedule!$Q$6:$Q$125,0)),""),IFERROR(IF(INDEX(Schedule!$P$6:$P$125,MATCH($B14&amp;"|"&amp;J$7,Schedule!$R$6:$R$125,0))=1,INDEX(Schedule!$F$6:$F$125,MATCH($B14&amp;"|"&amp;J$7,Schedule!$R$6:$R$125,0))&amp;"–"&amp;INDEX(Schedule!$E$6:$E$125,MATCH($B14&amp;"|"&amp;J$7,Schedule!$R$6:$R$125,0)),""),""))))</f>
        <v/>
      </c>
      <c r="K14" s="16" t="str">
        <f aca="false">IF(OR($B14="",K$7=""),"",IF($B14=K$7,"—",IFERROR(IF(INDEX(Schedule!$P$6:$P$125,MATCH($B14&amp;"|"&amp;K$7,Schedule!$Q$6:$Q$125,0))=1,INDEX(Schedule!$E$6:$E$125,MATCH($B14&amp;"|"&amp;K$7,Schedule!$Q$6:$Q$125,0))&amp;"–"&amp;INDEX(Schedule!$F$6:$F$125,MATCH($B14&amp;"|"&amp;K$7,Schedule!$Q$6:$Q$125,0)),""),IFERROR(IF(INDEX(Schedule!$P$6:$P$125,MATCH($B14&amp;"|"&amp;K$7,Schedule!$R$6:$R$125,0))=1,INDEX(Schedule!$F$6:$F$125,MATCH($B14&amp;"|"&amp;K$7,Schedule!$R$6:$R$125,0))&amp;"–"&amp;INDEX(Schedule!$E$6:$E$125,MATCH($B14&amp;"|"&amp;K$7,Schedule!$R$6:$R$125,0)),""),""))))</f>
        <v/>
      </c>
      <c r="L14" s="16" t="str">
        <f aca="false">IF(OR($B14="",L$7=""),"",IF($B14=L$7,"—",IFERROR(IF(INDEX(Schedule!$P$6:$P$125,MATCH($B14&amp;"|"&amp;L$7,Schedule!$Q$6:$Q$125,0))=1,INDEX(Schedule!$E$6:$E$125,MATCH($B14&amp;"|"&amp;L$7,Schedule!$Q$6:$Q$125,0))&amp;"–"&amp;INDEX(Schedule!$F$6:$F$125,MATCH($B14&amp;"|"&amp;L$7,Schedule!$Q$6:$Q$125,0)),""),IFERROR(IF(INDEX(Schedule!$P$6:$P$125,MATCH($B14&amp;"|"&amp;L$7,Schedule!$R$6:$R$125,0))=1,INDEX(Schedule!$F$6:$F$125,MATCH($B14&amp;"|"&amp;L$7,Schedule!$R$6:$R$125,0))&amp;"–"&amp;INDEX(Schedule!$E$6:$E$125,MATCH($B14&amp;"|"&amp;L$7,Schedule!$R$6:$R$125,0)),""),""))))</f>
        <v/>
      </c>
      <c r="M14" s="16" t="str">
        <f aca="false">IF(OR($B14="",M$7=""),"",IF($B14=M$7,"—",IFERROR(IF(INDEX(Schedule!$P$6:$P$125,MATCH($B14&amp;"|"&amp;M$7,Schedule!$Q$6:$Q$125,0))=1,INDEX(Schedule!$E$6:$E$125,MATCH($B14&amp;"|"&amp;M$7,Schedule!$Q$6:$Q$125,0))&amp;"–"&amp;INDEX(Schedule!$F$6:$F$125,MATCH($B14&amp;"|"&amp;M$7,Schedule!$Q$6:$Q$125,0)),""),IFERROR(IF(INDEX(Schedule!$P$6:$P$125,MATCH($B14&amp;"|"&amp;M$7,Schedule!$R$6:$R$125,0))=1,INDEX(Schedule!$F$6:$F$125,MATCH($B14&amp;"|"&amp;M$7,Schedule!$R$6:$R$125,0))&amp;"–"&amp;INDEX(Schedule!$E$6:$E$125,MATCH($B14&amp;"|"&amp;M$7,Schedule!$R$6:$R$125,0)),""),""))))</f>
        <v/>
      </c>
      <c r="N14" s="16" t="str">
        <f aca="false">IF(OR($B14="",N$7=""),"",IF($B14=N$7,"—",IFERROR(IF(INDEX(Schedule!$P$6:$P$125,MATCH($B14&amp;"|"&amp;N$7,Schedule!$Q$6:$Q$125,0))=1,INDEX(Schedule!$E$6:$E$125,MATCH($B14&amp;"|"&amp;N$7,Schedule!$Q$6:$Q$125,0))&amp;"–"&amp;INDEX(Schedule!$F$6:$F$125,MATCH($B14&amp;"|"&amp;N$7,Schedule!$Q$6:$Q$125,0)),""),IFERROR(IF(INDEX(Schedule!$P$6:$P$125,MATCH($B14&amp;"|"&amp;N$7,Schedule!$R$6:$R$125,0))=1,INDEX(Schedule!$F$6:$F$125,MATCH($B14&amp;"|"&amp;N$7,Schedule!$R$6:$R$125,0))&amp;"–"&amp;INDEX(Schedule!$E$6:$E$125,MATCH($B14&amp;"|"&amp;N$7,Schedule!$R$6:$R$125,0)),""),""))))</f>
        <v/>
      </c>
      <c r="O14" s="16" t="str">
        <f aca="false">IF(OR($B14="",O$7=""),"",IF($B14=O$7,"—",IFERROR(IF(INDEX(Schedule!$P$6:$P$125,MATCH($B14&amp;"|"&amp;O$7,Schedule!$Q$6:$Q$125,0))=1,INDEX(Schedule!$E$6:$E$125,MATCH($B14&amp;"|"&amp;O$7,Schedule!$Q$6:$Q$125,0))&amp;"–"&amp;INDEX(Schedule!$F$6:$F$125,MATCH($B14&amp;"|"&amp;O$7,Schedule!$Q$6:$Q$125,0)),""),IFERROR(IF(INDEX(Schedule!$P$6:$P$125,MATCH($B14&amp;"|"&amp;O$7,Schedule!$R$6:$R$125,0))=1,INDEX(Schedule!$F$6:$F$125,MATCH($B14&amp;"|"&amp;O$7,Schedule!$R$6:$R$125,0))&amp;"–"&amp;INDEX(Schedule!$E$6:$E$125,MATCH($B14&amp;"|"&amp;O$7,Schedule!$R$6:$R$125,0)),""),""))))</f>
        <v/>
      </c>
      <c r="P14" s="16" t="str">
        <f aca="false">IF(OR($B14="",P$7=""),"",IF($B14=P$7,"—",IFERROR(IF(INDEX(Schedule!$P$6:$P$125,MATCH($B14&amp;"|"&amp;P$7,Schedule!$Q$6:$Q$125,0))=1,INDEX(Schedule!$E$6:$E$125,MATCH($B14&amp;"|"&amp;P$7,Schedule!$Q$6:$Q$125,0))&amp;"–"&amp;INDEX(Schedule!$F$6:$F$125,MATCH($B14&amp;"|"&amp;P$7,Schedule!$Q$6:$Q$125,0)),""),IFERROR(IF(INDEX(Schedule!$P$6:$P$125,MATCH($B14&amp;"|"&amp;P$7,Schedule!$R$6:$R$125,0))=1,INDEX(Schedule!$F$6:$F$125,MATCH($B14&amp;"|"&amp;P$7,Schedule!$R$6:$R$125,0))&amp;"–"&amp;INDEX(Schedule!$E$6:$E$125,MATCH($B14&amp;"|"&amp;P$7,Schedule!$R$6:$R$125,0)),""),""))))</f>
        <v/>
      </c>
      <c r="Q14" s="16" t="str">
        <f aca="false">IF(OR($B14="",Q$7=""),"",IF($B14=Q$7,"—",IFERROR(IF(INDEX(Schedule!$P$6:$P$125,MATCH($B14&amp;"|"&amp;Q$7,Schedule!$Q$6:$Q$125,0))=1,INDEX(Schedule!$E$6:$E$125,MATCH($B14&amp;"|"&amp;Q$7,Schedule!$Q$6:$Q$125,0))&amp;"–"&amp;INDEX(Schedule!$F$6:$F$125,MATCH($B14&amp;"|"&amp;Q$7,Schedule!$Q$6:$Q$125,0)),""),IFERROR(IF(INDEX(Schedule!$P$6:$P$125,MATCH($B14&amp;"|"&amp;Q$7,Schedule!$R$6:$R$125,0))=1,INDEX(Schedule!$F$6:$F$125,MATCH($B14&amp;"|"&amp;Q$7,Schedule!$R$6:$R$125,0))&amp;"–"&amp;INDEX(Schedule!$E$6:$E$125,MATCH($B14&amp;"|"&amp;Q$7,Schedule!$R$6:$R$125,0)),""),""))))</f>
        <v/>
      </c>
      <c r="R14" s="16" t="str">
        <f aca="false">IF(OR($B14="",R$7=""),"",IF($B14=R$7,"—",IFERROR(IF(INDEX(Schedule!$P$6:$P$125,MATCH($B14&amp;"|"&amp;R$7,Schedule!$Q$6:$Q$125,0))=1,INDEX(Schedule!$E$6:$E$125,MATCH($B14&amp;"|"&amp;R$7,Schedule!$Q$6:$Q$125,0))&amp;"–"&amp;INDEX(Schedule!$F$6:$F$125,MATCH($B14&amp;"|"&amp;R$7,Schedule!$Q$6:$Q$125,0)),""),IFERROR(IF(INDEX(Schedule!$P$6:$P$125,MATCH($B14&amp;"|"&amp;R$7,Schedule!$R$6:$R$125,0))=1,INDEX(Schedule!$F$6:$F$125,MATCH($B14&amp;"|"&amp;R$7,Schedule!$R$6:$R$125,0))&amp;"–"&amp;INDEX(Schedule!$E$6:$E$125,MATCH($B14&amp;"|"&amp;R$7,Schedule!$R$6:$R$125,0)),""),""))))</f>
        <v/>
      </c>
    </row>
    <row r="15" customFormat="false" ht="15" hidden="false" customHeight="false" outlineLevel="0" collapsed="false">
      <c r="B15" s="27" t="str">
        <f aca="false">IF(Setup!$C$23="","",Setup!$C$23)</f>
        <v/>
      </c>
      <c r="C15" s="16" t="str">
        <f aca="false">IF(OR($B15="",C$7=""),"",IF($B15=C$7,"—",IFERROR(IF(INDEX(Schedule!$P$6:$P$125,MATCH($B15&amp;"|"&amp;C$7,Schedule!$Q$6:$Q$125,0))=1,INDEX(Schedule!$E$6:$E$125,MATCH($B15&amp;"|"&amp;C$7,Schedule!$Q$6:$Q$125,0))&amp;"–"&amp;INDEX(Schedule!$F$6:$F$125,MATCH($B15&amp;"|"&amp;C$7,Schedule!$Q$6:$Q$125,0)),""),IFERROR(IF(INDEX(Schedule!$P$6:$P$125,MATCH($B15&amp;"|"&amp;C$7,Schedule!$R$6:$R$125,0))=1,INDEX(Schedule!$F$6:$F$125,MATCH($B15&amp;"|"&amp;C$7,Schedule!$R$6:$R$125,0))&amp;"–"&amp;INDEX(Schedule!$E$6:$E$125,MATCH($B15&amp;"|"&amp;C$7,Schedule!$R$6:$R$125,0)),""),""))))</f>
        <v/>
      </c>
      <c r="D15" s="16" t="str">
        <f aca="false">IF(OR($B15="",D$7=""),"",IF($B15=D$7,"—",IFERROR(IF(INDEX(Schedule!$P$6:$P$125,MATCH($B15&amp;"|"&amp;D$7,Schedule!$Q$6:$Q$125,0))=1,INDEX(Schedule!$E$6:$E$125,MATCH($B15&amp;"|"&amp;D$7,Schedule!$Q$6:$Q$125,0))&amp;"–"&amp;INDEX(Schedule!$F$6:$F$125,MATCH($B15&amp;"|"&amp;D$7,Schedule!$Q$6:$Q$125,0)),""),IFERROR(IF(INDEX(Schedule!$P$6:$P$125,MATCH($B15&amp;"|"&amp;D$7,Schedule!$R$6:$R$125,0))=1,INDEX(Schedule!$F$6:$F$125,MATCH($B15&amp;"|"&amp;D$7,Schedule!$R$6:$R$125,0))&amp;"–"&amp;INDEX(Schedule!$E$6:$E$125,MATCH($B15&amp;"|"&amp;D$7,Schedule!$R$6:$R$125,0)),""),""))))</f>
        <v/>
      </c>
      <c r="E15" s="16" t="str">
        <f aca="false">IF(OR($B15="",E$7=""),"",IF($B15=E$7,"—",IFERROR(IF(INDEX(Schedule!$P$6:$P$125,MATCH($B15&amp;"|"&amp;E$7,Schedule!$Q$6:$Q$125,0))=1,INDEX(Schedule!$E$6:$E$125,MATCH($B15&amp;"|"&amp;E$7,Schedule!$Q$6:$Q$125,0))&amp;"–"&amp;INDEX(Schedule!$F$6:$F$125,MATCH($B15&amp;"|"&amp;E$7,Schedule!$Q$6:$Q$125,0)),""),IFERROR(IF(INDEX(Schedule!$P$6:$P$125,MATCH($B15&amp;"|"&amp;E$7,Schedule!$R$6:$R$125,0))=1,INDEX(Schedule!$F$6:$F$125,MATCH($B15&amp;"|"&amp;E$7,Schedule!$R$6:$R$125,0))&amp;"–"&amp;INDEX(Schedule!$E$6:$E$125,MATCH($B15&amp;"|"&amp;E$7,Schedule!$R$6:$R$125,0)),""),""))))</f>
        <v/>
      </c>
      <c r="F15" s="16" t="str">
        <f aca="false">IF(OR($B15="",F$7=""),"",IF($B15=F$7,"—",IFERROR(IF(INDEX(Schedule!$P$6:$P$125,MATCH($B15&amp;"|"&amp;F$7,Schedule!$Q$6:$Q$125,0))=1,INDEX(Schedule!$E$6:$E$125,MATCH($B15&amp;"|"&amp;F$7,Schedule!$Q$6:$Q$125,0))&amp;"–"&amp;INDEX(Schedule!$F$6:$F$125,MATCH($B15&amp;"|"&amp;F$7,Schedule!$Q$6:$Q$125,0)),""),IFERROR(IF(INDEX(Schedule!$P$6:$P$125,MATCH($B15&amp;"|"&amp;F$7,Schedule!$R$6:$R$125,0))=1,INDEX(Schedule!$F$6:$F$125,MATCH($B15&amp;"|"&amp;F$7,Schedule!$R$6:$R$125,0))&amp;"–"&amp;INDEX(Schedule!$E$6:$E$125,MATCH($B15&amp;"|"&amp;F$7,Schedule!$R$6:$R$125,0)),""),""))))</f>
        <v/>
      </c>
      <c r="G15" s="16" t="str">
        <f aca="false">IF(OR($B15="",G$7=""),"",IF($B15=G$7,"—",IFERROR(IF(INDEX(Schedule!$P$6:$P$125,MATCH($B15&amp;"|"&amp;G$7,Schedule!$Q$6:$Q$125,0))=1,INDEX(Schedule!$E$6:$E$125,MATCH($B15&amp;"|"&amp;G$7,Schedule!$Q$6:$Q$125,0))&amp;"–"&amp;INDEX(Schedule!$F$6:$F$125,MATCH($B15&amp;"|"&amp;G$7,Schedule!$Q$6:$Q$125,0)),""),IFERROR(IF(INDEX(Schedule!$P$6:$P$125,MATCH($B15&amp;"|"&amp;G$7,Schedule!$R$6:$R$125,0))=1,INDEX(Schedule!$F$6:$F$125,MATCH($B15&amp;"|"&amp;G$7,Schedule!$R$6:$R$125,0))&amp;"–"&amp;INDEX(Schedule!$E$6:$E$125,MATCH($B15&amp;"|"&amp;G$7,Schedule!$R$6:$R$125,0)),""),""))))</f>
        <v/>
      </c>
      <c r="H15" s="16" t="str">
        <f aca="false">IF(OR($B15="",H$7=""),"",IF($B15=H$7,"—",IFERROR(IF(INDEX(Schedule!$P$6:$P$125,MATCH($B15&amp;"|"&amp;H$7,Schedule!$Q$6:$Q$125,0))=1,INDEX(Schedule!$E$6:$E$125,MATCH($B15&amp;"|"&amp;H$7,Schedule!$Q$6:$Q$125,0))&amp;"–"&amp;INDEX(Schedule!$F$6:$F$125,MATCH($B15&amp;"|"&amp;H$7,Schedule!$Q$6:$Q$125,0)),""),IFERROR(IF(INDEX(Schedule!$P$6:$P$125,MATCH($B15&amp;"|"&amp;H$7,Schedule!$R$6:$R$125,0))=1,INDEX(Schedule!$F$6:$F$125,MATCH($B15&amp;"|"&amp;H$7,Schedule!$R$6:$R$125,0))&amp;"–"&amp;INDEX(Schedule!$E$6:$E$125,MATCH($B15&amp;"|"&amp;H$7,Schedule!$R$6:$R$125,0)),""),""))))</f>
        <v/>
      </c>
      <c r="I15" s="16" t="str">
        <f aca="false">IF(OR($B15="",I$7=""),"",IF($B15=I$7,"—",IFERROR(IF(INDEX(Schedule!$P$6:$P$125,MATCH($B15&amp;"|"&amp;I$7,Schedule!$Q$6:$Q$125,0))=1,INDEX(Schedule!$E$6:$E$125,MATCH($B15&amp;"|"&amp;I$7,Schedule!$Q$6:$Q$125,0))&amp;"–"&amp;INDEX(Schedule!$F$6:$F$125,MATCH($B15&amp;"|"&amp;I$7,Schedule!$Q$6:$Q$125,0)),""),IFERROR(IF(INDEX(Schedule!$P$6:$P$125,MATCH($B15&amp;"|"&amp;I$7,Schedule!$R$6:$R$125,0))=1,INDEX(Schedule!$F$6:$F$125,MATCH($B15&amp;"|"&amp;I$7,Schedule!$R$6:$R$125,0))&amp;"–"&amp;INDEX(Schedule!$E$6:$E$125,MATCH($B15&amp;"|"&amp;I$7,Schedule!$R$6:$R$125,0)),""),""))))</f>
        <v/>
      </c>
      <c r="J15" s="16" t="str">
        <f aca="false">IF(OR($B15="",J$7=""),"",IF($B15=J$7,"—",IFERROR(IF(INDEX(Schedule!$P$6:$P$125,MATCH($B15&amp;"|"&amp;J$7,Schedule!$Q$6:$Q$125,0))=1,INDEX(Schedule!$E$6:$E$125,MATCH($B15&amp;"|"&amp;J$7,Schedule!$Q$6:$Q$125,0))&amp;"–"&amp;INDEX(Schedule!$F$6:$F$125,MATCH($B15&amp;"|"&amp;J$7,Schedule!$Q$6:$Q$125,0)),""),IFERROR(IF(INDEX(Schedule!$P$6:$P$125,MATCH($B15&amp;"|"&amp;J$7,Schedule!$R$6:$R$125,0))=1,INDEX(Schedule!$F$6:$F$125,MATCH($B15&amp;"|"&amp;J$7,Schedule!$R$6:$R$125,0))&amp;"–"&amp;INDEX(Schedule!$E$6:$E$125,MATCH($B15&amp;"|"&amp;J$7,Schedule!$R$6:$R$125,0)),""),""))))</f>
        <v/>
      </c>
      <c r="K15" s="16" t="str">
        <f aca="false">IF(OR($B15="",K$7=""),"",IF($B15=K$7,"—",IFERROR(IF(INDEX(Schedule!$P$6:$P$125,MATCH($B15&amp;"|"&amp;K$7,Schedule!$Q$6:$Q$125,0))=1,INDEX(Schedule!$E$6:$E$125,MATCH($B15&amp;"|"&amp;K$7,Schedule!$Q$6:$Q$125,0))&amp;"–"&amp;INDEX(Schedule!$F$6:$F$125,MATCH($B15&amp;"|"&amp;K$7,Schedule!$Q$6:$Q$125,0)),""),IFERROR(IF(INDEX(Schedule!$P$6:$P$125,MATCH($B15&amp;"|"&amp;K$7,Schedule!$R$6:$R$125,0))=1,INDEX(Schedule!$F$6:$F$125,MATCH($B15&amp;"|"&amp;K$7,Schedule!$R$6:$R$125,0))&amp;"–"&amp;INDEX(Schedule!$E$6:$E$125,MATCH($B15&amp;"|"&amp;K$7,Schedule!$R$6:$R$125,0)),""),""))))</f>
        <v/>
      </c>
      <c r="L15" s="16" t="str">
        <f aca="false">IF(OR($B15="",L$7=""),"",IF($B15=L$7,"—",IFERROR(IF(INDEX(Schedule!$P$6:$P$125,MATCH($B15&amp;"|"&amp;L$7,Schedule!$Q$6:$Q$125,0))=1,INDEX(Schedule!$E$6:$E$125,MATCH($B15&amp;"|"&amp;L$7,Schedule!$Q$6:$Q$125,0))&amp;"–"&amp;INDEX(Schedule!$F$6:$F$125,MATCH($B15&amp;"|"&amp;L$7,Schedule!$Q$6:$Q$125,0)),""),IFERROR(IF(INDEX(Schedule!$P$6:$P$125,MATCH($B15&amp;"|"&amp;L$7,Schedule!$R$6:$R$125,0))=1,INDEX(Schedule!$F$6:$F$125,MATCH($B15&amp;"|"&amp;L$7,Schedule!$R$6:$R$125,0))&amp;"–"&amp;INDEX(Schedule!$E$6:$E$125,MATCH($B15&amp;"|"&amp;L$7,Schedule!$R$6:$R$125,0)),""),""))))</f>
        <v/>
      </c>
      <c r="M15" s="16" t="str">
        <f aca="false">IF(OR($B15="",M$7=""),"",IF($B15=M$7,"—",IFERROR(IF(INDEX(Schedule!$P$6:$P$125,MATCH($B15&amp;"|"&amp;M$7,Schedule!$Q$6:$Q$125,0))=1,INDEX(Schedule!$E$6:$E$125,MATCH($B15&amp;"|"&amp;M$7,Schedule!$Q$6:$Q$125,0))&amp;"–"&amp;INDEX(Schedule!$F$6:$F$125,MATCH($B15&amp;"|"&amp;M$7,Schedule!$Q$6:$Q$125,0)),""),IFERROR(IF(INDEX(Schedule!$P$6:$P$125,MATCH($B15&amp;"|"&amp;M$7,Schedule!$R$6:$R$125,0))=1,INDEX(Schedule!$F$6:$F$125,MATCH($B15&amp;"|"&amp;M$7,Schedule!$R$6:$R$125,0))&amp;"–"&amp;INDEX(Schedule!$E$6:$E$125,MATCH($B15&amp;"|"&amp;M$7,Schedule!$R$6:$R$125,0)),""),""))))</f>
        <v/>
      </c>
      <c r="N15" s="16" t="str">
        <f aca="false">IF(OR($B15="",N$7=""),"",IF($B15=N$7,"—",IFERROR(IF(INDEX(Schedule!$P$6:$P$125,MATCH($B15&amp;"|"&amp;N$7,Schedule!$Q$6:$Q$125,0))=1,INDEX(Schedule!$E$6:$E$125,MATCH($B15&amp;"|"&amp;N$7,Schedule!$Q$6:$Q$125,0))&amp;"–"&amp;INDEX(Schedule!$F$6:$F$125,MATCH($B15&amp;"|"&amp;N$7,Schedule!$Q$6:$Q$125,0)),""),IFERROR(IF(INDEX(Schedule!$P$6:$P$125,MATCH($B15&amp;"|"&amp;N$7,Schedule!$R$6:$R$125,0))=1,INDEX(Schedule!$F$6:$F$125,MATCH($B15&amp;"|"&amp;N$7,Schedule!$R$6:$R$125,0))&amp;"–"&amp;INDEX(Schedule!$E$6:$E$125,MATCH($B15&amp;"|"&amp;N$7,Schedule!$R$6:$R$125,0)),""),""))))</f>
        <v/>
      </c>
      <c r="O15" s="16" t="str">
        <f aca="false">IF(OR($B15="",O$7=""),"",IF($B15=O$7,"—",IFERROR(IF(INDEX(Schedule!$P$6:$P$125,MATCH($B15&amp;"|"&amp;O$7,Schedule!$Q$6:$Q$125,0))=1,INDEX(Schedule!$E$6:$E$125,MATCH($B15&amp;"|"&amp;O$7,Schedule!$Q$6:$Q$125,0))&amp;"–"&amp;INDEX(Schedule!$F$6:$F$125,MATCH($B15&amp;"|"&amp;O$7,Schedule!$Q$6:$Q$125,0)),""),IFERROR(IF(INDEX(Schedule!$P$6:$P$125,MATCH($B15&amp;"|"&amp;O$7,Schedule!$R$6:$R$125,0))=1,INDEX(Schedule!$F$6:$F$125,MATCH($B15&amp;"|"&amp;O$7,Schedule!$R$6:$R$125,0))&amp;"–"&amp;INDEX(Schedule!$E$6:$E$125,MATCH($B15&amp;"|"&amp;O$7,Schedule!$R$6:$R$125,0)),""),""))))</f>
        <v/>
      </c>
      <c r="P15" s="16" t="str">
        <f aca="false">IF(OR($B15="",P$7=""),"",IF($B15=P$7,"—",IFERROR(IF(INDEX(Schedule!$P$6:$P$125,MATCH($B15&amp;"|"&amp;P$7,Schedule!$Q$6:$Q$125,0))=1,INDEX(Schedule!$E$6:$E$125,MATCH($B15&amp;"|"&amp;P$7,Schedule!$Q$6:$Q$125,0))&amp;"–"&amp;INDEX(Schedule!$F$6:$F$125,MATCH($B15&amp;"|"&amp;P$7,Schedule!$Q$6:$Q$125,0)),""),IFERROR(IF(INDEX(Schedule!$P$6:$P$125,MATCH($B15&amp;"|"&amp;P$7,Schedule!$R$6:$R$125,0))=1,INDEX(Schedule!$F$6:$F$125,MATCH($B15&amp;"|"&amp;P$7,Schedule!$R$6:$R$125,0))&amp;"–"&amp;INDEX(Schedule!$E$6:$E$125,MATCH($B15&amp;"|"&amp;P$7,Schedule!$R$6:$R$125,0)),""),""))))</f>
        <v/>
      </c>
      <c r="Q15" s="16" t="str">
        <f aca="false">IF(OR($B15="",Q$7=""),"",IF($B15=Q$7,"—",IFERROR(IF(INDEX(Schedule!$P$6:$P$125,MATCH($B15&amp;"|"&amp;Q$7,Schedule!$Q$6:$Q$125,0))=1,INDEX(Schedule!$E$6:$E$125,MATCH($B15&amp;"|"&amp;Q$7,Schedule!$Q$6:$Q$125,0))&amp;"–"&amp;INDEX(Schedule!$F$6:$F$125,MATCH($B15&amp;"|"&amp;Q$7,Schedule!$Q$6:$Q$125,0)),""),IFERROR(IF(INDEX(Schedule!$P$6:$P$125,MATCH($B15&amp;"|"&amp;Q$7,Schedule!$R$6:$R$125,0))=1,INDEX(Schedule!$F$6:$F$125,MATCH($B15&amp;"|"&amp;Q$7,Schedule!$R$6:$R$125,0))&amp;"–"&amp;INDEX(Schedule!$E$6:$E$125,MATCH($B15&amp;"|"&amp;Q$7,Schedule!$R$6:$R$125,0)),""),""))))</f>
        <v/>
      </c>
      <c r="R15" s="16" t="str">
        <f aca="false">IF(OR($B15="",R$7=""),"",IF($B15=R$7,"—",IFERROR(IF(INDEX(Schedule!$P$6:$P$125,MATCH($B15&amp;"|"&amp;R$7,Schedule!$Q$6:$Q$125,0))=1,INDEX(Schedule!$E$6:$E$125,MATCH($B15&amp;"|"&amp;R$7,Schedule!$Q$6:$Q$125,0))&amp;"–"&amp;INDEX(Schedule!$F$6:$F$125,MATCH($B15&amp;"|"&amp;R$7,Schedule!$Q$6:$Q$125,0)),""),IFERROR(IF(INDEX(Schedule!$P$6:$P$125,MATCH($B15&amp;"|"&amp;R$7,Schedule!$R$6:$R$125,0))=1,INDEX(Schedule!$F$6:$F$125,MATCH($B15&amp;"|"&amp;R$7,Schedule!$R$6:$R$125,0))&amp;"–"&amp;INDEX(Schedule!$E$6:$E$125,MATCH($B15&amp;"|"&amp;R$7,Schedule!$R$6:$R$125,0)),""),""))))</f>
        <v/>
      </c>
    </row>
    <row r="16" customFormat="false" ht="15" hidden="false" customHeight="false" outlineLevel="0" collapsed="false">
      <c r="B16" s="27" t="str">
        <f aca="false">IF(Setup!$C$24="","",Setup!$C$24)</f>
        <v/>
      </c>
      <c r="C16" s="16" t="str">
        <f aca="false">IF(OR($B16="",C$7=""),"",IF($B16=C$7,"—",IFERROR(IF(INDEX(Schedule!$P$6:$P$125,MATCH($B16&amp;"|"&amp;C$7,Schedule!$Q$6:$Q$125,0))=1,INDEX(Schedule!$E$6:$E$125,MATCH($B16&amp;"|"&amp;C$7,Schedule!$Q$6:$Q$125,0))&amp;"–"&amp;INDEX(Schedule!$F$6:$F$125,MATCH($B16&amp;"|"&amp;C$7,Schedule!$Q$6:$Q$125,0)),""),IFERROR(IF(INDEX(Schedule!$P$6:$P$125,MATCH($B16&amp;"|"&amp;C$7,Schedule!$R$6:$R$125,0))=1,INDEX(Schedule!$F$6:$F$125,MATCH($B16&amp;"|"&amp;C$7,Schedule!$R$6:$R$125,0))&amp;"–"&amp;INDEX(Schedule!$E$6:$E$125,MATCH($B16&amp;"|"&amp;C$7,Schedule!$R$6:$R$125,0)),""),""))))</f>
        <v/>
      </c>
      <c r="D16" s="16" t="str">
        <f aca="false">IF(OR($B16="",D$7=""),"",IF($B16=D$7,"—",IFERROR(IF(INDEX(Schedule!$P$6:$P$125,MATCH($B16&amp;"|"&amp;D$7,Schedule!$Q$6:$Q$125,0))=1,INDEX(Schedule!$E$6:$E$125,MATCH($B16&amp;"|"&amp;D$7,Schedule!$Q$6:$Q$125,0))&amp;"–"&amp;INDEX(Schedule!$F$6:$F$125,MATCH($B16&amp;"|"&amp;D$7,Schedule!$Q$6:$Q$125,0)),""),IFERROR(IF(INDEX(Schedule!$P$6:$P$125,MATCH($B16&amp;"|"&amp;D$7,Schedule!$R$6:$R$125,0))=1,INDEX(Schedule!$F$6:$F$125,MATCH($B16&amp;"|"&amp;D$7,Schedule!$R$6:$R$125,0))&amp;"–"&amp;INDEX(Schedule!$E$6:$E$125,MATCH($B16&amp;"|"&amp;D$7,Schedule!$R$6:$R$125,0)),""),""))))</f>
        <v/>
      </c>
      <c r="E16" s="16" t="str">
        <f aca="false">IF(OR($B16="",E$7=""),"",IF($B16=E$7,"—",IFERROR(IF(INDEX(Schedule!$P$6:$P$125,MATCH($B16&amp;"|"&amp;E$7,Schedule!$Q$6:$Q$125,0))=1,INDEX(Schedule!$E$6:$E$125,MATCH($B16&amp;"|"&amp;E$7,Schedule!$Q$6:$Q$125,0))&amp;"–"&amp;INDEX(Schedule!$F$6:$F$125,MATCH($B16&amp;"|"&amp;E$7,Schedule!$Q$6:$Q$125,0)),""),IFERROR(IF(INDEX(Schedule!$P$6:$P$125,MATCH($B16&amp;"|"&amp;E$7,Schedule!$R$6:$R$125,0))=1,INDEX(Schedule!$F$6:$F$125,MATCH($B16&amp;"|"&amp;E$7,Schedule!$R$6:$R$125,0))&amp;"–"&amp;INDEX(Schedule!$E$6:$E$125,MATCH($B16&amp;"|"&amp;E$7,Schedule!$R$6:$R$125,0)),""),""))))</f>
        <v/>
      </c>
      <c r="F16" s="16" t="str">
        <f aca="false">IF(OR($B16="",F$7=""),"",IF($B16=F$7,"—",IFERROR(IF(INDEX(Schedule!$P$6:$P$125,MATCH($B16&amp;"|"&amp;F$7,Schedule!$Q$6:$Q$125,0))=1,INDEX(Schedule!$E$6:$E$125,MATCH($B16&amp;"|"&amp;F$7,Schedule!$Q$6:$Q$125,0))&amp;"–"&amp;INDEX(Schedule!$F$6:$F$125,MATCH($B16&amp;"|"&amp;F$7,Schedule!$Q$6:$Q$125,0)),""),IFERROR(IF(INDEX(Schedule!$P$6:$P$125,MATCH($B16&amp;"|"&amp;F$7,Schedule!$R$6:$R$125,0))=1,INDEX(Schedule!$F$6:$F$125,MATCH($B16&amp;"|"&amp;F$7,Schedule!$R$6:$R$125,0))&amp;"–"&amp;INDEX(Schedule!$E$6:$E$125,MATCH($B16&amp;"|"&amp;F$7,Schedule!$R$6:$R$125,0)),""),""))))</f>
        <v/>
      </c>
      <c r="G16" s="16" t="str">
        <f aca="false">IF(OR($B16="",G$7=""),"",IF($B16=G$7,"—",IFERROR(IF(INDEX(Schedule!$P$6:$P$125,MATCH($B16&amp;"|"&amp;G$7,Schedule!$Q$6:$Q$125,0))=1,INDEX(Schedule!$E$6:$E$125,MATCH($B16&amp;"|"&amp;G$7,Schedule!$Q$6:$Q$125,0))&amp;"–"&amp;INDEX(Schedule!$F$6:$F$125,MATCH($B16&amp;"|"&amp;G$7,Schedule!$Q$6:$Q$125,0)),""),IFERROR(IF(INDEX(Schedule!$P$6:$P$125,MATCH($B16&amp;"|"&amp;G$7,Schedule!$R$6:$R$125,0))=1,INDEX(Schedule!$F$6:$F$125,MATCH($B16&amp;"|"&amp;G$7,Schedule!$R$6:$R$125,0))&amp;"–"&amp;INDEX(Schedule!$E$6:$E$125,MATCH($B16&amp;"|"&amp;G$7,Schedule!$R$6:$R$125,0)),""),""))))</f>
        <v/>
      </c>
      <c r="H16" s="16" t="str">
        <f aca="false">IF(OR($B16="",H$7=""),"",IF($B16=H$7,"—",IFERROR(IF(INDEX(Schedule!$P$6:$P$125,MATCH($B16&amp;"|"&amp;H$7,Schedule!$Q$6:$Q$125,0))=1,INDEX(Schedule!$E$6:$E$125,MATCH($B16&amp;"|"&amp;H$7,Schedule!$Q$6:$Q$125,0))&amp;"–"&amp;INDEX(Schedule!$F$6:$F$125,MATCH($B16&amp;"|"&amp;H$7,Schedule!$Q$6:$Q$125,0)),""),IFERROR(IF(INDEX(Schedule!$P$6:$P$125,MATCH($B16&amp;"|"&amp;H$7,Schedule!$R$6:$R$125,0))=1,INDEX(Schedule!$F$6:$F$125,MATCH($B16&amp;"|"&amp;H$7,Schedule!$R$6:$R$125,0))&amp;"–"&amp;INDEX(Schedule!$E$6:$E$125,MATCH($B16&amp;"|"&amp;H$7,Schedule!$R$6:$R$125,0)),""),""))))</f>
        <v/>
      </c>
      <c r="I16" s="16" t="str">
        <f aca="false">IF(OR($B16="",I$7=""),"",IF($B16=I$7,"—",IFERROR(IF(INDEX(Schedule!$P$6:$P$125,MATCH($B16&amp;"|"&amp;I$7,Schedule!$Q$6:$Q$125,0))=1,INDEX(Schedule!$E$6:$E$125,MATCH($B16&amp;"|"&amp;I$7,Schedule!$Q$6:$Q$125,0))&amp;"–"&amp;INDEX(Schedule!$F$6:$F$125,MATCH($B16&amp;"|"&amp;I$7,Schedule!$Q$6:$Q$125,0)),""),IFERROR(IF(INDEX(Schedule!$P$6:$P$125,MATCH($B16&amp;"|"&amp;I$7,Schedule!$R$6:$R$125,0))=1,INDEX(Schedule!$F$6:$F$125,MATCH($B16&amp;"|"&amp;I$7,Schedule!$R$6:$R$125,0))&amp;"–"&amp;INDEX(Schedule!$E$6:$E$125,MATCH($B16&amp;"|"&amp;I$7,Schedule!$R$6:$R$125,0)),""),""))))</f>
        <v/>
      </c>
      <c r="J16" s="16" t="str">
        <f aca="false">IF(OR($B16="",J$7=""),"",IF($B16=J$7,"—",IFERROR(IF(INDEX(Schedule!$P$6:$P$125,MATCH($B16&amp;"|"&amp;J$7,Schedule!$Q$6:$Q$125,0))=1,INDEX(Schedule!$E$6:$E$125,MATCH($B16&amp;"|"&amp;J$7,Schedule!$Q$6:$Q$125,0))&amp;"–"&amp;INDEX(Schedule!$F$6:$F$125,MATCH($B16&amp;"|"&amp;J$7,Schedule!$Q$6:$Q$125,0)),""),IFERROR(IF(INDEX(Schedule!$P$6:$P$125,MATCH($B16&amp;"|"&amp;J$7,Schedule!$R$6:$R$125,0))=1,INDEX(Schedule!$F$6:$F$125,MATCH($B16&amp;"|"&amp;J$7,Schedule!$R$6:$R$125,0))&amp;"–"&amp;INDEX(Schedule!$E$6:$E$125,MATCH($B16&amp;"|"&amp;J$7,Schedule!$R$6:$R$125,0)),""),""))))</f>
        <v/>
      </c>
      <c r="K16" s="16" t="str">
        <f aca="false">IF(OR($B16="",K$7=""),"",IF($B16=K$7,"—",IFERROR(IF(INDEX(Schedule!$P$6:$P$125,MATCH($B16&amp;"|"&amp;K$7,Schedule!$Q$6:$Q$125,0))=1,INDEX(Schedule!$E$6:$E$125,MATCH($B16&amp;"|"&amp;K$7,Schedule!$Q$6:$Q$125,0))&amp;"–"&amp;INDEX(Schedule!$F$6:$F$125,MATCH($B16&amp;"|"&amp;K$7,Schedule!$Q$6:$Q$125,0)),""),IFERROR(IF(INDEX(Schedule!$P$6:$P$125,MATCH($B16&amp;"|"&amp;K$7,Schedule!$R$6:$R$125,0))=1,INDEX(Schedule!$F$6:$F$125,MATCH($B16&amp;"|"&amp;K$7,Schedule!$R$6:$R$125,0))&amp;"–"&amp;INDEX(Schedule!$E$6:$E$125,MATCH($B16&amp;"|"&amp;K$7,Schedule!$R$6:$R$125,0)),""),""))))</f>
        <v/>
      </c>
      <c r="L16" s="16" t="str">
        <f aca="false">IF(OR($B16="",L$7=""),"",IF($B16=L$7,"—",IFERROR(IF(INDEX(Schedule!$P$6:$P$125,MATCH($B16&amp;"|"&amp;L$7,Schedule!$Q$6:$Q$125,0))=1,INDEX(Schedule!$E$6:$E$125,MATCH($B16&amp;"|"&amp;L$7,Schedule!$Q$6:$Q$125,0))&amp;"–"&amp;INDEX(Schedule!$F$6:$F$125,MATCH($B16&amp;"|"&amp;L$7,Schedule!$Q$6:$Q$125,0)),""),IFERROR(IF(INDEX(Schedule!$P$6:$P$125,MATCH($B16&amp;"|"&amp;L$7,Schedule!$R$6:$R$125,0))=1,INDEX(Schedule!$F$6:$F$125,MATCH($B16&amp;"|"&amp;L$7,Schedule!$R$6:$R$125,0))&amp;"–"&amp;INDEX(Schedule!$E$6:$E$125,MATCH($B16&amp;"|"&amp;L$7,Schedule!$R$6:$R$125,0)),""),""))))</f>
        <v/>
      </c>
      <c r="M16" s="16" t="str">
        <f aca="false">IF(OR($B16="",M$7=""),"",IF($B16=M$7,"—",IFERROR(IF(INDEX(Schedule!$P$6:$P$125,MATCH($B16&amp;"|"&amp;M$7,Schedule!$Q$6:$Q$125,0))=1,INDEX(Schedule!$E$6:$E$125,MATCH($B16&amp;"|"&amp;M$7,Schedule!$Q$6:$Q$125,0))&amp;"–"&amp;INDEX(Schedule!$F$6:$F$125,MATCH($B16&amp;"|"&amp;M$7,Schedule!$Q$6:$Q$125,0)),""),IFERROR(IF(INDEX(Schedule!$P$6:$P$125,MATCH($B16&amp;"|"&amp;M$7,Schedule!$R$6:$R$125,0))=1,INDEX(Schedule!$F$6:$F$125,MATCH($B16&amp;"|"&amp;M$7,Schedule!$R$6:$R$125,0))&amp;"–"&amp;INDEX(Schedule!$E$6:$E$125,MATCH($B16&amp;"|"&amp;M$7,Schedule!$R$6:$R$125,0)),""),""))))</f>
        <v/>
      </c>
      <c r="N16" s="16" t="str">
        <f aca="false">IF(OR($B16="",N$7=""),"",IF($B16=N$7,"—",IFERROR(IF(INDEX(Schedule!$P$6:$P$125,MATCH($B16&amp;"|"&amp;N$7,Schedule!$Q$6:$Q$125,0))=1,INDEX(Schedule!$E$6:$E$125,MATCH($B16&amp;"|"&amp;N$7,Schedule!$Q$6:$Q$125,0))&amp;"–"&amp;INDEX(Schedule!$F$6:$F$125,MATCH($B16&amp;"|"&amp;N$7,Schedule!$Q$6:$Q$125,0)),""),IFERROR(IF(INDEX(Schedule!$P$6:$P$125,MATCH($B16&amp;"|"&amp;N$7,Schedule!$R$6:$R$125,0))=1,INDEX(Schedule!$F$6:$F$125,MATCH($B16&amp;"|"&amp;N$7,Schedule!$R$6:$R$125,0))&amp;"–"&amp;INDEX(Schedule!$E$6:$E$125,MATCH($B16&amp;"|"&amp;N$7,Schedule!$R$6:$R$125,0)),""),""))))</f>
        <v/>
      </c>
      <c r="O16" s="16" t="str">
        <f aca="false">IF(OR($B16="",O$7=""),"",IF($B16=O$7,"—",IFERROR(IF(INDEX(Schedule!$P$6:$P$125,MATCH($B16&amp;"|"&amp;O$7,Schedule!$Q$6:$Q$125,0))=1,INDEX(Schedule!$E$6:$E$125,MATCH($B16&amp;"|"&amp;O$7,Schedule!$Q$6:$Q$125,0))&amp;"–"&amp;INDEX(Schedule!$F$6:$F$125,MATCH($B16&amp;"|"&amp;O$7,Schedule!$Q$6:$Q$125,0)),""),IFERROR(IF(INDEX(Schedule!$P$6:$P$125,MATCH($B16&amp;"|"&amp;O$7,Schedule!$R$6:$R$125,0))=1,INDEX(Schedule!$F$6:$F$125,MATCH($B16&amp;"|"&amp;O$7,Schedule!$R$6:$R$125,0))&amp;"–"&amp;INDEX(Schedule!$E$6:$E$125,MATCH($B16&amp;"|"&amp;O$7,Schedule!$R$6:$R$125,0)),""),""))))</f>
        <v/>
      </c>
      <c r="P16" s="16" t="str">
        <f aca="false">IF(OR($B16="",P$7=""),"",IF($B16=P$7,"—",IFERROR(IF(INDEX(Schedule!$P$6:$P$125,MATCH($B16&amp;"|"&amp;P$7,Schedule!$Q$6:$Q$125,0))=1,INDEX(Schedule!$E$6:$E$125,MATCH($B16&amp;"|"&amp;P$7,Schedule!$Q$6:$Q$125,0))&amp;"–"&amp;INDEX(Schedule!$F$6:$F$125,MATCH($B16&amp;"|"&amp;P$7,Schedule!$Q$6:$Q$125,0)),""),IFERROR(IF(INDEX(Schedule!$P$6:$P$125,MATCH($B16&amp;"|"&amp;P$7,Schedule!$R$6:$R$125,0))=1,INDEX(Schedule!$F$6:$F$125,MATCH($B16&amp;"|"&amp;P$7,Schedule!$R$6:$R$125,0))&amp;"–"&amp;INDEX(Schedule!$E$6:$E$125,MATCH($B16&amp;"|"&amp;P$7,Schedule!$R$6:$R$125,0)),""),""))))</f>
        <v/>
      </c>
      <c r="Q16" s="16" t="str">
        <f aca="false">IF(OR($B16="",Q$7=""),"",IF($B16=Q$7,"—",IFERROR(IF(INDEX(Schedule!$P$6:$P$125,MATCH($B16&amp;"|"&amp;Q$7,Schedule!$Q$6:$Q$125,0))=1,INDEX(Schedule!$E$6:$E$125,MATCH($B16&amp;"|"&amp;Q$7,Schedule!$Q$6:$Q$125,0))&amp;"–"&amp;INDEX(Schedule!$F$6:$F$125,MATCH($B16&amp;"|"&amp;Q$7,Schedule!$Q$6:$Q$125,0)),""),IFERROR(IF(INDEX(Schedule!$P$6:$P$125,MATCH($B16&amp;"|"&amp;Q$7,Schedule!$R$6:$R$125,0))=1,INDEX(Schedule!$F$6:$F$125,MATCH($B16&amp;"|"&amp;Q$7,Schedule!$R$6:$R$125,0))&amp;"–"&amp;INDEX(Schedule!$E$6:$E$125,MATCH($B16&amp;"|"&amp;Q$7,Schedule!$R$6:$R$125,0)),""),""))))</f>
        <v/>
      </c>
      <c r="R16" s="16" t="str">
        <f aca="false">IF(OR($B16="",R$7=""),"",IF($B16=R$7,"—",IFERROR(IF(INDEX(Schedule!$P$6:$P$125,MATCH($B16&amp;"|"&amp;R$7,Schedule!$Q$6:$Q$125,0))=1,INDEX(Schedule!$E$6:$E$125,MATCH($B16&amp;"|"&amp;R$7,Schedule!$Q$6:$Q$125,0))&amp;"–"&amp;INDEX(Schedule!$F$6:$F$125,MATCH($B16&amp;"|"&amp;R$7,Schedule!$Q$6:$Q$125,0)),""),IFERROR(IF(INDEX(Schedule!$P$6:$P$125,MATCH($B16&amp;"|"&amp;R$7,Schedule!$R$6:$R$125,0))=1,INDEX(Schedule!$F$6:$F$125,MATCH($B16&amp;"|"&amp;R$7,Schedule!$R$6:$R$125,0))&amp;"–"&amp;INDEX(Schedule!$E$6:$E$125,MATCH($B16&amp;"|"&amp;R$7,Schedule!$R$6:$R$125,0)),""),""))))</f>
        <v/>
      </c>
    </row>
    <row r="17" customFormat="false" ht="15" hidden="false" customHeight="false" outlineLevel="0" collapsed="false">
      <c r="B17" s="27" t="str">
        <f aca="false">IF(Setup!$C$25="","",Setup!$C$25)</f>
        <v/>
      </c>
      <c r="C17" s="16" t="str">
        <f aca="false">IF(OR($B17="",C$7=""),"",IF($B17=C$7,"—",IFERROR(IF(INDEX(Schedule!$P$6:$P$125,MATCH($B17&amp;"|"&amp;C$7,Schedule!$Q$6:$Q$125,0))=1,INDEX(Schedule!$E$6:$E$125,MATCH($B17&amp;"|"&amp;C$7,Schedule!$Q$6:$Q$125,0))&amp;"–"&amp;INDEX(Schedule!$F$6:$F$125,MATCH($B17&amp;"|"&amp;C$7,Schedule!$Q$6:$Q$125,0)),""),IFERROR(IF(INDEX(Schedule!$P$6:$P$125,MATCH($B17&amp;"|"&amp;C$7,Schedule!$R$6:$R$125,0))=1,INDEX(Schedule!$F$6:$F$125,MATCH($B17&amp;"|"&amp;C$7,Schedule!$R$6:$R$125,0))&amp;"–"&amp;INDEX(Schedule!$E$6:$E$125,MATCH($B17&amp;"|"&amp;C$7,Schedule!$R$6:$R$125,0)),""),""))))</f>
        <v/>
      </c>
      <c r="D17" s="16" t="str">
        <f aca="false">IF(OR($B17="",D$7=""),"",IF($B17=D$7,"—",IFERROR(IF(INDEX(Schedule!$P$6:$P$125,MATCH($B17&amp;"|"&amp;D$7,Schedule!$Q$6:$Q$125,0))=1,INDEX(Schedule!$E$6:$E$125,MATCH($B17&amp;"|"&amp;D$7,Schedule!$Q$6:$Q$125,0))&amp;"–"&amp;INDEX(Schedule!$F$6:$F$125,MATCH($B17&amp;"|"&amp;D$7,Schedule!$Q$6:$Q$125,0)),""),IFERROR(IF(INDEX(Schedule!$P$6:$P$125,MATCH($B17&amp;"|"&amp;D$7,Schedule!$R$6:$R$125,0))=1,INDEX(Schedule!$F$6:$F$125,MATCH($B17&amp;"|"&amp;D$7,Schedule!$R$6:$R$125,0))&amp;"–"&amp;INDEX(Schedule!$E$6:$E$125,MATCH($B17&amp;"|"&amp;D$7,Schedule!$R$6:$R$125,0)),""),""))))</f>
        <v/>
      </c>
      <c r="E17" s="16" t="str">
        <f aca="false">IF(OR($B17="",E$7=""),"",IF($B17=E$7,"—",IFERROR(IF(INDEX(Schedule!$P$6:$P$125,MATCH($B17&amp;"|"&amp;E$7,Schedule!$Q$6:$Q$125,0))=1,INDEX(Schedule!$E$6:$E$125,MATCH($B17&amp;"|"&amp;E$7,Schedule!$Q$6:$Q$125,0))&amp;"–"&amp;INDEX(Schedule!$F$6:$F$125,MATCH($B17&amp;"|"&amp;E$7,Schedule!$Q$6:$Q$125,0)),""),IFERROR(IF(INDEX(Schedule!$P$6:$P$125,MATCH($B17&amp;"|"&amp;E$7,Schedule!$R$6:$R$125,0))=1,INDEX(Schedule!$F$6:$F$125,MATCH($B17&amp;"|"&amp;E$7,Schedule!$R$6:$R$125,0))&amp;"–"&amp;INDEX(Schedule!$E$6:$E$125,MATCH($B17&amp;"|"&amp;E$7,Schedule!$R$6:$R$125,0)),""),""))))</f>
        <v/>
      </c>
      <c r="F17" s="16" t="str">
        <f aca="false">IF(OR($B17="",F$7=""),"",IF($B17=F$7,"—",IFERROR(IF(INDEX(Schedule!$P$6:$P$125,MATCH($B17&amp;"|"&amp;F$7,Schedule!$Q$6:$Q$125,0))=1,INDEX(Schedule!$E$6:$E$125,MATCH($B17&amp;"|"&amp;F$7,Schedule!$Q$6:$Q$125,0))&amp;"–"&amp;INDEX(Schedule!$F$6:$F$125,MATCH($B17&amp;"|"&amp;F$7,Schedule!$Q$6:$Q$125,0)),""),IFERROR(IF(INDEX(Schedule!$P$6:$P$125,MATCH($B17&amp;"|"&amp;F$7,Schedule!$R$6:$R$125,0))=1,INDEX(Schedule!$F$6:$F$125,MATCH($B17&amp;"|"&amp;F$7,Schedule!$R$6:$R$125,0))&amp;"–"&amp;INDEX(Schedule!$E$6:$E$125,MATCH($B17&amp;"|"&amp;F$7,Schedule!$R$6:$R$125,0)),""),""))))</f>
        <v/>
      </c>
      <c r="G17" s="16" t="str">
        <f aca="false">IF(OR($B17="",G$7=""),"",IF($B17=G$7,"—",IFERROR(IF(INDEX(Schedule!$P$6:$P$125,MATCH($B17&amp;"|"&amp;G$7,Schedule!$Q$6:$Q$125,0))=1,INDEX(Schedule!$E$6:$E$125,MATCH($B17&amp;"|"&amp;G$7,Schedule!$Q$6:$Q$125,0))&amp;"–"&amp;INDEX(Schedule!$F$6:$F$125,MATCH($B17&amp;"|"&amp;G$7,Schedule!$Q$6:$Q$125,0)),""),IFERROR(IF(INDEX(Schedule!$P$6:$P$125,MATCH($B17&amp;"|"&amp;G$7,Schedule!$R$6:$R$125,0))=1,INDEX(Schedule!$F$6:$F$125,MATCH($B17&amp;"|"&amp;G$7,Schedule!$R$6:$R$125,0))&amp;"–"&amp;INDEX(Schedule!$E$6:$E$125,MATCH($B17&amp;"|"&amp;G$7,Schedule!$R$6:$R$125,0)),""),""))))</f>
        <v/>
      </c>
      <c r="H17" s="16" t="str">
        <f aca="false">IF(OR($B17="",H$7=""),"",IF($B17=H$7,"—",IFERROR(IF(INDEX(Schedule!$P$6:$P$125,MATCH($B17&amp;"|"&amp;H$7,Schedule!$Q$6:$Q$125,0))=1,INDEX(Schedule!$E$6:$E$125,MATCH($B17&amp;"|"&amp;H$7,Schedule!$Q$6:$Q$125,0))&amp;"–"&amp;INDEX(Schedule!$F$6:$F$125,MATCH($B17&amp;"|"&amp;H$7,Schedule!$Q$6:$Q$125,0)),""),IFERROR(IF(INDEX(Schedule!$P$6:$P$125,MATCH($B17&amp;"|"&amp;H$7,Schedule!$R$6:$R$125,0))=1,INDEX(Schedule!$F$6:$F$125,MATCH($B17&amp;"|"&amp;H$7,Schedule!$R$6:$R$125,0))&amp;"–"&amp;INDEX(Schedule!$E$6:$E$125,MATCH($B17&amp;"|"&amp;H$7,Schedule!$R$6:$R$125,0)),""),""))))</f>
        <v/>
      </c>
      <c r="I17" s="16" t="str">
        <f aca="false">IF(OR($B17="",I$7=""),"",IF($B17=I$7,"—",IFERROR(IF(INDEX(Schedule!$P$6:$P$125,MATCH($B17&amp;"|"&amp;I$7,Schedule!$Q$6:$Q$125,0))=1,INDEX(Schedule!$E$6:$E$125,MATCH($B17&amp;"|"&amp;I$7,Schedule!$Q$6:$Q$125,0))&amp;"–"&amp;INDEX(Schedule!$F$6:$F$125,MATCH($B17&amp;"|"&amp;I$7,Schedule!$Q$6:$Q$125,0)),""),IFERROR(IF(INDEX(Schedule!$P$6:$P$125,MATCH($B17&amp;"|"&amp;I$7,Schedule!$R$6:$R$125,0))=1,INDEX(Schedule!$F$6:$F$125,MATCH($B17&amp;"|"&amp;I$7,Schedule!$R$6:$R$125,0))&amp;"–"&amp;INDEX(Schedule!$E$6:$E$125,MATCH($B17&amp;"|"&amp;I$7,Schedule!$R$6:$R$125,0)),""),""))))</f>
        <v/>
      </c>
      <c r="J17" s="16" t="str">
        <f aca="false">IF(OR($B17="",J$7=""),"",IF($B17=J$7,"—",IFERROR(IF(INDEX(Schedule!$P$6:$P$125,MATCH($B17&amp;"|"&amp;J$7,Schedule!$Q$6:$Q$125,0))=1,INDEX(Schedule!$E$6:$E$125,MATCH($B17&amp;"|"&amp;J$7,Schedule!$Q$6:$Q$125,0))&amp;"–"&amp;INDEX(Schedule!$F$6:$F$125,MATCH($B17&amp;"|"&amp;J$7,Schedule!$Q$6:$Q$125,0)),""),IFERROR(IF(INDEX(Schedule!$P$6:$P$125,MATCH($B17&amp;"|"&amp;J$7,Schedule!$R$6:$R$125,0))=1,INDEX(Schedule!$F$6:$F$125,MATCH($B17&amp;"|"&amp;J$7,Schedule!$R$6:$R$125,0))&amp;"–"&amp;INDEX(Schedule!$E$6:$E$125,MATCH($B17&amp;"|"&amp;J$7,Schedule!$R$6:$R$125,0)),""),""))))</f>
        <v/>
      </c>
      <c r="K17" s="16" t="str">
        <f aca="false">IF(OR($B17="",K$7=""),"",IF($B17=K$7,"—",IFERROR(IF(INDEX(Schedule!$P$6:$P$125,MATCH($B17&amp;"|"&amp;K$7,Schedule!$Q$6:$Q$125,0))=1,INDEX(Schedule!$E$6:$E$125,MATCH($B17&amp;"|"&amp;K$7,Schedule!$Q$6:$Q$125,0))&amp;"–"&amp;INDEX(Schedule!$F$6:$F$125,MATCH($B17&amp;"|"&amp;K$7,Schedule!$Q$6:$Q$125,0)),""),IFERROR(IF(INDEX(Schedule!$P$6:$P$125,MATCH($B17&amp;"|"&amp;K$7,Schedule!$R$6:$R$125,0))=1,INDEX(Schedule!$F$6:$F$125,MATCH($B17&amp;"|"&amp;K$7,Schedule!$R$6:$R$125,0))&amp;"–"&amp;INDEX(Schedule!$E$6:$E$125,MATCH($B17&amp;"|"&amp;K$7,Schedule!$R$6:$R$125,0)),""),""))))</f>
        <v/>
      </c>
      <c r="L17" s="16" t="str">
        <f aca="false">IF(OR($B17="",L$7=""),"",IF($B17=L$7,"—",IFERROR(IF(INDEX(Schedule!$P$6:$P$125,MATCH($B17&amp;"|"&amp;L$7,Schedule!$Q$6:$Q$125,0))=1,INDEX(Schedule!$E$6:$E$125,MATCH($B17&amp;"|"&amp;L$7,Schedule!$Q$6:$Q$125,0))&amp;"–"&amp;INDEX(Schedule!$F$6:$F$125,MATCH($B17&amp;"|"&amp;L$7,Schedule!$Q$6:$Q$125,0)),""),IFERROR(IF(INDEX(Schedule!$P$6:$P$125,MATCH($B17&amp;"|"&amp;L$7,Schedule!$R$6:$R$125,0))=1,INDEX(Schedule!$F$6:$F$125,MATCH($B17&amp;"|"&amp;L$7,Schedule!$R$6:$R$125,0))&amp;"–"&amp;INDEX(Schedule!$E$6:$E$125,MATCH($B17&amp;"|"&amp;L$7,Schedule!$R$6:$R$125,0)),""),""))))</f>
        <v/>
      </c>
      <c r="M17" s="16" t="str">
        <f aca="false">IF(OR($B17="",M$7=""),"",IF($B17=M$7,"—",IFERROR(IF(INDEX(Schedule!$P$6:$P$125,MATCH($B17&amp;"|"&amp;M$7,Schedule!$Q$6:$Q$125,0))=1,INDEX(Schedule!$E$6:$E$125,MATCH($B17&amp;"|"&amp;M$7,Schedule!$Q$6:$Q$125,0))&amp;"–"&amp;INDEX(Schedule!$F$6:$F$125,MATCH($B17&amp;"|"&amp;M$7,Schedule!$Q$6:$Q$125,0)),""),IFERROR(IF(INDEX(Schedule!$P$6:$P$125,MATCH($B17&amp;"|"&amp;M$7,Schedule!$R$6:$R$125,0))=1,INDEX(Schedule!$F$6:$F$125,MATCH($B17&amp;"|"&amp;M$7,Schedule!$R$6:$R$125,0))&amp;"–"&amp;INDEX(Schedule!$E$6:$E$125,MATCH($B17&amp;"|"&amp;M$7,Schedule!$R$6:$R$125,0)),""),""))))</f>
        <v/>
      </c>
      <c r="N17" s="16" t="str">
        <f aca="false">IF(OR($B17="",N$7=""),"",IF($B17=N$7,"—",IFERROR(IF(INDEX(Schedule!$P$6:$P$125,MATCH($B17&amp;"|"&amp;N$7,Schedule!$Q$6:$Q$125,0))=1,INDEX(Schedule!$E$6:$E$125,MATCH($B17&amp;"|"&amp;N$7,Schedule!$Q$6:$Q$125,0))&amp;"–"&amp;INDEX(Schedule!$F$6:$F$125,MATCH($B17&amp;"|"&amp;N$7,Schedule!$Q$6:$Q$125,0)),""),IFERROR(IF(INDEX(Schedule!$P$6:$P$125,MATCH($B17&amp;"|"&amp;N$7,Schedule!$R$6:$R$125,0))=1,INDEX(Schedule!$F$6:$F$125,MATCH($B17&amp;"|"&amp;N$7,Schedule!$R$6:$R$125,0))&amp;"–"&amp;INDEX(Schedule!$E$6:$E$125,MATCH($B17&amp;"|"&amp;N$7,Schedule!$R$6:$R$125,0)),""),""))))</f>
        <v/>
      </c>
      <c r="O17" s="16" t="str">
        <f aca="false">IF(OR($B17="",O$7=""),"",IF($B17=O$7,"—",IFERROR(IF(INDEX(Schedule!$P$6:$P$125,MATCH($B17&amp;"|"&amp;O$7,Schedule!$Q$6:$Q$125,0))=1,INDEX(Schedule!$E$6:$E$125,MATCH($B17&amp;"|"&amp;O$7,Schedule!$Q$6:$Q$125,0))&amp;"–"&amp;INDEX(Schedule!$F$6:$F$125,MATCH($B17&amp;"|"&amp;O$7,Schedule!$Q$6:$Q$125,0)),""),IFERROR(IF(INDEX(Schedule!$P$6:$P$125,MATCH($B17&amp;"|"&amp;O$7,Schedule!$R$6:$R$125,0))=1,INDEX(Schedule!$F$6:$F$125,MATCH($B17&amp;"|"&amp;O$7,Schedule!$R$6:$R$125,0))&amp;"–"&amp;INDEX(Schedule!$E$6:$E$125,MATCH($B17&amp;"|"&amp;O$7,Schedule!$R$6:$R$125,0)),""),""))))</f>
        <v/>
      </c>
      <c r="P17" s="16" t="str">
        <f aca="false">IF(OR($B17="",P$7=""),"",IF($B17=P$7,"—",IFERROR(IF(INDEX(Schedule!$P$6:$P$125,MATCH($B17&amp;"|"&amp;P$7,Schedule!$Q$6:$Q$125,0))=1,INDEX(Schedule!$E$6:$E$125,MATCH($B17&amp;"|"&amp;P$7,Schedule!$Q$6:$Q$125,0))&amp;"–"&amp;INDEX(Schedule!$F$6:$F$125,MATCH($B17&amp;"|"&amp;P$7,Schedule!$Q$6:$Q$125,0)),""),IFERROR(IF(INDEX(Schedule!$P$6:$P$125,MATCH($B17&amp;"|"&amp;P$7,Schedule!$R$6:$R$125,0))=1,INDEX(Schedule!$F$6:$F$125,MATCH($B17&amp;"|"&amp;P$7,Schedule!$R$6:$R$125,0))&amp;"–"&amp;INDEX(Schedule!$E$6:$E$125,MATCH($B17&amp;"|"&amp;P$7,Schedule!$R$6:$R$125,0)),""),""))))</f>
        <v/>
      </c>
      <c r="Q17" s="16" t="str">
        <f aca="false">IF(OR($B17="",Q$7=""),"",IF($B17=Q$7,"—",IFERROR(IF(INDEX(Schedule!$P$6:$P$125,MATCH($B17&amp;"|"&amp;Q$7,Schedule!$Q$6:$Q$125,0))=1,INDEX(Schedule!$E$6:$E$125,MATCH($B17&amp;"|"&amp;Q$7,Schedule!$Q$6:$Q$125,0))&amp;"–"&amp;INDEX(Schedule!$F$6:$F$125,MATCH($B17&amp;"|"&amp;Q$7,Schedule!$Q$6:$Q$125,0)),""),IFERROR(IF(INDEX(Schedule!$P$6:$P$125,MATCH($B17&amp;"|"&amp;Q$7,Schedule!$R$6:$R$125,0))=1,INDEX(Schedule!$F$6:$F$125,MATCH($B17&amp;"|"&amp;Q$7,Schedule!$R$6:$R$125,0))&amp;"–"&amp;INDEX(Schedule!$E$6:$E$125,MATCH($B17&amp;"|"&amp;Q$7,Schedule!$R$6:$R$125,0)),""),""))))</f>
        <v/>
      </c>
      <c r="R17" s="16" t="str">
        <f aca="false">IF(OR($B17="",R$7=""),"",IF($B17=R$7,"—",IFERROR(IF(INDEX(Schedule!$P$6:$P$125,MATCH($B17&amp;"|"&amp;R$7,Schedule!$Q$6:$Q$125,0))=1,INDEX(Schedule!$E$6:$E$125,MATCH($B17&amp;"|"&amp;R$7,Schedule!$Q$6:$Q$125,0))&amp;"–"&amp;INDEX(Schedule!$F$6:$F$125,MATCH($B17&amp;"|"&amp;R$7,Schedule!$Q$6:$Q$125,0)),""),IFERROR(IF(INDEX(Schedule!$P$6:$P$125,MATCH($B17&amp;"|"&amp;R$7,Schedule!$R$6:$R$125,0))=1,INDEX(Schedule!$F$6:$F$125,MATCH($B17&amp;"|"&amp;R$7,Schedule!$R$6:$R$125,0))&amp;"–"&amp;INDEX(Schedule!$E$6:$E$125,MATCH($B17&amp;"|"&amp;R$7,Schedule!$R$6:$R$125,0)),""),""))))</f>
        <v/>
      </c>
    </row>
    <row r="18" customFormat="false" ht="15" hidden="false" customHeight="false" outlineLevel="0" collapsed="false">
      <c r="B18" s="27" t="str">
        <f aca="false">IF(Setup!$C$26="","",Setup!$C$26)</f>
        <v/>
      </c>
      <c r="C18" s="16" t="str">
        <f aca="false">IF(OR($B18="",C$7=""),"",IF($B18=C$7,"—",IFERROR(IF(INDEX(Schedule!$P$6:$P$125,MATCH($B18&amp;"|"&amp;C$7,Schedule!$Q$6:$Q$125,0))=1,INDEX(Schedule!$E$6:$E$125,MATCH($B18&amp;"|"&amp;C$7,Schedule!$Q$6:$Q$125,0))&amp;"–"&amp;INDEX(Schedule!$F$6:$F$125,MATCH($B18&amp;"|"&amp;C$7,Schedule!$Q$6:$Q$125,0)),""),IFERROR(IF(INDEX(Schedule!$P$6:$P$125,MATCH($B18&amp;"|"&amp;C$7,Schedule!$R$6:$R$125,0))=1,INDEX(Schedule!$F$6:$F$125,MATCH($B18&amp;"|"&amp;C$7,Schedule!$R$6:$R$125,0))&amp;"–"&amp;INDEX(Schedule!$E$6:$E$125,MATCH($B18&amp;"|"&amp;C$7,Schedule!$R$6:$R$125,0)),""),""))))</f>
        <v/>
      </c>
      <c r="D18" s="16" t="str">
        <f aca="false">IF(OR($B18="",D$7=""),"",IF($B18=D$7,"—",IFERROR(IF(INDEX(Schedule!$P$6:$P$125,MATCH($B18&amp;"|"&amp;D$7,Schedule!$Q$6:$Q$125,0))=1,INDEX(Schedule!$E$6:$E$125,MATCH($B18&amp;"|"&amp;D$7,Schedule!$Q$6:$Q$125,0))&amp;"–"&amp;INDEX(Schedule!$F$6:$F$125,MATCH($B18&amp;"|"&amp;D$7,Schedule!$Q$6:$Q$125,0)),""),IFERROR(IF(INDEX(Schedule!$P$6:$P$125,MATCH($B18&amp;"|"&amp;D$7,Schedule!$R$6:$R$125,0))=1,INDEX(Schedule!$F$6:$F$125,MATCH($B18&amp;"|"&amp;D$7,Schedule!$R$6:$R$125,0))&amp;"–"&amp;INDEX(Schedule!$E$6:$E$125,MATCH($B18&amp;"|"&amp;D$7,Schedule!$R$6:$R$125,0)),""),""))))</f>
        <v/>
      </c>
      <c r="E18" s="16" t="str">
        <f aca="false">IF(OR($B18="",E$7=""),"",IF($B18=E$7,"—",IFERROR(IF(INDEX(Schedule!$P$6:$P$125,MATCH($B18&amp;"|"&amp;E$7,Schedule!$Q$6:$Q$125,0))=1,INDEX(Schedule!$E$6:$E$125,MATCH($B18&amp;"|"&amp;E$7,Schedule!$Q$6:$Q$125,0))&amp;"–"&amp;INDEX(Schedule!$F$6:$F$125,MATCH($B18&amp;"|"&amp;E$7,Schedule!$Q$6:$Q$125,0)),""),IFERROR(IF(INDEX(Schedule!$P$6:$P$125,MATCH($B18&amp;"|"&amp;E$7,Schedule!$R$6:$R$125,0))=1,INDEX(Schedule!$F$6:$F$125,MATCH($B18&amp;"|"&amp;E$7,Schedule!$R$6:$R$125,0))&amp;"–"&amp;INDEX(Schedule!$E$6:$E$125,MATCH($B18&amp;"|"&amp;E$7,Schedule!$R$6:$R$125,0)),""),""))))</f>
        <v/>
      </c>
      <c r="F18" s="16" t="str">
        <f aca="false">IF(OR($B18="",F$7=""),"",IF($B18=F$7,"—",IFERROR(IF(INDEX(Schedule!$P$6:$P$125,MATCH($B18&amp;"|"&amp;F$7,Schedule!$Q$6:$Q$125,0))=1,INDEX(Schedule!$E$6:$E$125,MATCH($B18&amp;"|"&amp;F$7,Schedule!$Q$6:$Q$125,0))&amp;"–"&amp;INDEX(Schedule!$F$6:$F$125,MATCH($B18&amp;"|"&amp;F$7,Schedule!$Q$6:$Q$125,0)),""),IFERROR(IF(INDEX(Schedule!$P$6:$P$125,MATCH($B18&amp;"|"&amp;F$7,Schedule!$R$6:$R$125,0))=1,INDEX(Schedule!$F$6:$F$125,MATCH($B18&amp;"|"&amp;F$7,Schedule!$R$6:$R$125,0))&amp;"–"&amp;INDEX(Schedule!$E$6:$E$125,MATCH($B18&amp;"|"&amp;F$7,Schedule!$R$6:$R$125,0)),""),""))))</f>
        <v/>
      </c>
      <c r="G18" s="16" t="str">
        <f aca="false">IF(OR($B18="",G$7=""),"",IF($B18=G$7,"—",IFERROR(IF(INDEX(Schedule!$P$6:$P$125,MATCH($B18&amp;"|"&amp;G$7,Schedule!$Q$6:$Q$125,0))=1,INDEX(Schedule!$E$6:$E$125,MATCH($B18&amp;"|"&amp;G$7,Schedule!$Q$6:$Q$125,0))&amp;"–"&amp;INDEX(Schedule!$F$6:$F$125,MATCH($B18&amp;"|"&amp;G$7,Schedule!$Q$6:$Q$125,0)),""),IFERROR(IF(INDEX(Schedule!$P$6:$P$125,MATCH($B18&amp;"|"&amp;G$7,Schedule!$R$6:$R$125,0))=1,INDEX(Schedule!$F$6:$F$125,MATCH($B18&amp;"|"&amp;G$7,Schedule!$R$6:$R$125,0))&amp;"–"&amp;INDEX(Schedule!$E$6:$E$125,MATCH($B18&amp;"|"&amp;G$7,Schedule!$R$6:$R$125,0)),""),""))))</f>
        <v/>
      </c>
      <c r="H18" s="16" t="str">
        <f aca="false">IF(OR($B18="",H$7=""),"",IF($B18=H$7,"—",IFERROR(IF(INDEX(Schedule!$P$6:$P$125,MATCH($B18&amp;"|"&amp;H$7,Schedule!$Q$6:$Q$125,0))=1,INDEX(Schedule!$E$6:$E$125,MATCH($B18&amp;"|"&amp;H$7,Schedule!$Q$6:$Q$125,0))&amp;"–"&amp;INDEX(Schedule!$F$6:$F$125,MATCH($B18&amp;"|"&amp;H$7,Schedule!$Q$6:$Q$125,0)),""),IFERROR(IF(INDEX(Schedule!$P$6:$P$125,MATCH($B18&amp;"|"&amp;H$7,Schedule!$R$6:$R$125,0))=1,INDEX(Schedule!$F$6:$F$125,MATCH($B18&amp;"|"&amp;H$7,Schedule!$R$6:$R$125,0))&amp;"–"&amp;INDEX(Schedule!$E$6:$E$125,MATCH($B18&amp;"|"&amp;H$7,Schedule!$R$6:$R$125,0)),""),""))))</f>
        <v/>
      </c>
      <c r="I18" s="16" t="str">
        <f aca="false">IF(OR($B18="",I$7=""),"",IF($B18=I$7,"—",IFERROR(IF(INDEX(Schedule!$P$6:$P$125,MATCH($B18&amp;"|"&amp;I$7,Schedule!$Q$6:$Q$125,0))=1,INDEX(Schedule!$E$6:$E$125,MATCH($B18&amp;"|"&amp;I$7,Schedule!$Q$6:$Q$125,0))&amp;"–"&amp;INDEX(Schedule!$F$6:$F$125,MATCH($B18&amp;"|"&amp;I$7,Schedule!$Q$6:$Q$125,0)),""),IFERROR(IF(INDEX(Schedule!$P$6:$P$125,MATCH($B18&amp;"|"&amp;I$7,Schedule!$R$6:$R$125,0))=1,INDEX(Schedule!$F$6:$F$125,MATCH($B18&amp;"|"&amp;I$7,Schedule!$R$6:$R$125,0))&amp;"–"&amp;INDEX(Schedule!$E$6:$E$125,MATCH($B18&amp;"|"&amp;I$7,Schedule!$R$6:$R$125,0)),""),""))))</f>
        <v/>
      </c>
      <c r="J18" s="16" t="str">
        <f aca="false">IF(OR($B18="",J$7=""),"",IF($B18=J$7,"—",IFERROR(IF(INDEX(Schedule!$P$6:$P$125,MATCH($B18&amp;"|"&amp;J$7,Schedule!$Q$6:$Q$125,0))=1,INDEX(Schedule!$E$6:$E$125,MATCH($B18&amp;"|"&amp;J$7,Schedule!$Q$6:$Q$125,0))&amp;"–"&amp;INDEX(Schedule!$F$6:$F$125,MATCH($B18&amp;"|"&amp;J$7,Schedule!$Q$6:$Q$125,0)),""),IFERROR(IF(INDEX(Schedule!$P$6:$P$125,MATCH($B18&amp;"|"&amp;J$7,Schedule!$R$6:$R$125,0))=1,INDEX(Schedule!$F$6:$F$125,MATCH($B18&amp;"|"&amp;J$7,Schedule!$R$6:$R$125,0))&amp;"–"&amp;INDEX(Schedule!$E$6:$E$125,MATCH($B18&amp;"|"&amp;J$7,Schedule!$R$6:$R$125,0)),""),""))))</f>
        <v/>
      </c>
      <c r="K18" s="16" t="str">
        <f aca="false">IF(OR($B18="",K$7=""),"",IF($B18=K$7,"—",IFERROR(IF(INDEX(Schedule!$P$6:$P$125,MATCH($B18&amp;"|"&amp;K$7,Schedule!$Q$6:$Q$125,0))=1,INDEX(Schedule!$E$6:$E$125,MATCH($B18&amp;"|"&amp;K$7,Schedule!$Q$6:$Q$125,0))&amp;"–"&amp;INDEX(Schedule!$F$6:$F$125,MATCH($B18&amp;"|"&amp;K$7,Schedule!$Q$6:$Q$125,0)),""),IFERROR(IF(INDEX(Schedule!$P$6:$P$125,MATCH($B18&amp;"|"&amp;K$7,Schedule!$R$6:$R$125,0))=1,INDEX(Schedule!$F$6:$F$125,MATCH($B18&amp;"|"&amp;K$7,Schedule!$R$6:$R$125,0))&amp;"–"&amp;INDEX(Schedule!$E$6:$E$125,MATCH($B18&amp;"|"&amp;K$7,Schedule!$R$6:$R$125,0)),""),""))))</f>
        <v/>
      </c>
      <c r="L18" s="16" t="str">
        <f aca="false">IF(OR($B18="",L$7=""),"",IF($B18=L$7,"—",IFERROR(IF(INDEX(Schedule!$P$6:$P$125,MATCH($B18&amp;"|"&amp;L$7,Schedule!$Q$6:$Q$125,0))=1,INDEX(Schedule!$E$6:$E$125,MATCH($B18&amp;"|"&amp;L$7,Schedule!$Q$6:$Q$125,0))&amp;"–"&amp;INDEX(Schedule!$F$6:$F$125,MATCH($B18&amp;"|"&amp;L$7,Schedule!$Q$6:$Q$125,0)),""),IFERROR(IF(INDEX(Schedule!$P$6:$P$125,MATCH($B18&amp;"|"&amp;L$7,Schedule!$R$6:$R$125,0))=1,INDEX(Schedule!$F$6:$F$125,MATCH($B18&amp;"|"&amp;L$7,Schedule!$R$6:$R$125,0))&amp;"–"&amp;INDEX(Schedule!$E$6:$E$125,MATCH($B18&amp;"|"&amp;L$7,Schedule!$R$6:$R$125,0)),""),""))))</f>
        <v/>
      </c>
      <c r="M18" s="16" t="str">
        <f aca="false">IF(OR($B18="",M$7=""),"",IF($B18=M$7,"—",IFERROR(IF(INDEX(Schedule!$P$6:$P$125,MATCH($B18&amp;"|"&amp;M$7,Schedule!$Q$6:$Q$125,0))=1,INDEX(Schedule!$E$6:$E$125,MATCH($B18&amp;"|"&amp;M$7,Schedule!$Q$6:$Q$125,0))&amp;"–"&amp;INDEX(Schedule!$F$6:$F$125,MATCH($B18&amp;"|"&amp;M$7,Schedule!$Q$6:$Q$125,0)),""),IFERROR(IF(INDEX(Schedule!$P$6:$P$125,MATCH($B18&amp;"|"&amp;M$7,Schedule!$R$6:$R$125,0))=1,INDEX(Schedule!$F$6:$F$125,MATCH($B18&amp;"|"&amp;M$7,Schedule!$R$6:$R$125,0))&amp;"–"&amp;INDEX(Schedule!$E$6:$E$125,MATCH($B18&amp;"|"&amp;M$7,Schedule!$R$6:$R$125,0)),""),""))))</f>
        <v/>
      </c>
      <c r="N18" s="16" t="str">
        <f aca="false">IF(OR($B18="",N$7=""),"",IF($B18=N$7,"—",IFERROR(IF(INDEX(Schedule!$P$6:$P$125,MATCH($B18&amp;"|"&amp;N$7,Schedule!$Q$6:$Q$125,0))=1,INDEX(Schedule!$E$6:$E$125,MATCH($B18&amp;"|"&amp;N$7,Schedule!$Q$6:$Q$125,0))&amp;"–"&amp;INDEX(Schedule!$F$6:$F$125,MATCH($B18&amp;"|"&amp;N$7,Schedule!$Q$6:$Q$125,0)),""),IFERROR(IF(INDEX(Schedule!$P$6:$P$125,MATCH($B18&amp;"|"&amp;N$7,Schedule!$R$6:$R$125,0))=1,INDEX(Schedule!$F$6:$F$125,MATCH($B18&amp;"|"&amp;N$7,Schedule!$R$6:$R$125,0))&amp;"–"&amp;INDEX(Schedule!$E$6:$E$125,MATCH($B18&amp;"|"&amp;N$7,Schedule!$R$6:$R$125,0)),""),""))))</f>
        <v/>
      </c>
      <c r="O18" s="16" t="str">
        <f aca="false">IF(OR($B18="",O$7=""),"",IF($B18=O$7,"—",IFERROR(IF(INDEX(Schedule!$P$6:$P$125,MATCH($B18&amp;"|"&amp;O$7,Schedule!$Q$6:$Q$125,0))=1,INDEX(Schedule!$E$6:$E$125,MATCH($B18&amp;"|"&amp;O$7,Schedule!$Q$6:$Q$125,0))&amp;"–"&amp;INDEX(Schedule!$F$6:$F$125,MATCH($B18&amp;"|"&amp;O$7,Schedule!$Q$6:$Q$125,0)),""),IFERROR(IF(INDEX(Schedule!$P$6:$P$125,MATCH($B18&amp;"|"&amp;O$7,Schedule!$R$6:$R$125,0))=1,INDEX(Schedule!$F$6:$F$125,MATCH($B18&amp;"|"&amp;O$7,Schedule!$R$6:$R$125,0))&amp;"–"&amp;INDEX(Schedule!$E$6:$E$125,MATCH($B18&amp;"|"&amp;O$7,Schedule!$R$6:$R$125,0)),""),""))))</f>
        <v/>
      </c>
      <c r="P18" s="16" t="str">
        <f aca="false">IF(OR($B18="",P$7=""),"",IF($B18=P$7,"—",IFERROR(IF(INDEX(Schedule!$P$6:$P$125,MATCH($B18&amp;"|"&amp;P$7,Schedule!$Q$6:$Q$125,0))=1,INDEX(Schedule!$E$6:$E$125,MATCH($B18&amp;"|"&amp;P$7,Schedule!$Q$6:$Q$125,0))&amp;"–"&amp;INDEX(Schedule!$F$6:$F$125,MATCH($B18&amp;"|"&amp;P$7,Schedule!$Q$6:$Q$125,0)),""),IFERROR(IF(INDEX(Schedule!$P$6:$P$125,MATCH($B18&amp;"|"&amp;P$7,Schedule!$R$6:$R$125,0))=1,INDEX(Schedule!$F$6:$F$125,MATCH($B18&amp;"|"&amp;P$7,Schedule!$R$6:$R$125,0))&amp;"–"&amp;INDEX(Schedule!$E$6:$E$125,MATCH($B18&amp;"|"&amp;P$7,Schedule!$R$6:$R$125,0)),""),""))))</f>
        <v/>
      </c>
      <c r="Q18" s="16" t="str">
        <f aca="false">IF(OR($B18="",Q$7=""),"",IF($B18=Q$7,"—",IFERROR(IF(INDEX(Schedule!$P$6:$P$125,MATCH($B18&amp;"|"&amp;Q$7,Schedule!$Q$6:$Q$125,0))=1,INDEX(Schedule!$E$6:$E$125,MATCH($B18&amp;"|"&amp;Q$7,Schedule!$Q$6:$Q$125,0))&amp;"–"&amp;INDEX(Schedule!$F$6:$F$125,MATCH($B18&amp;"|"&amp;Q$7,Schedule!$Q$6:$Q$125,0)),""),IFERROR(IF(INDEX(Schedule!$P$6:$P$125,MATCH($B18&amp;"|"&amp;Q$7,Schedule!$R$6:$R$125,0))=1,INDEX(Schedule!$F$6:$F$125,MATCH($B18&amp;"|"&amp;Q$7,Schedule!$R$6:$R$125,0))&amp;"–"&amp;INDEX(Schedule!$E$6:$E$125,MATCH($B18&amp;"|"&amp;Q$7,Schedule!$R$6:$R$125,0)),""),""))))</f>
        <v/>
      </c>
      <c r="R18" s="16" t="str">
        <f aca="false">IF(OR($B18="",R$7=""),"",IF($B18=R$7,"—",IFERROR(IF(INDEX(Schedule!$P$6:$P$125,MATCH($B18&amp;"|"&amp;R$7,Schedule!$Q$6:$Q$125,0))=1,INDEX(Schedule!$E$6:$E$125,MATCH($B18&amp;"|"&amp;R$7,Schedule!$Q$6:$Q$125,0))&amp;"–"&amp;INDEX(Schedule!$F$6:$F$125,MATCH($B18&amp;"|"&amp;R$7,Schedule!$Q$6:$Q$125,0)),""),IFERROR(IF(INDEX(Schedule!$P$6:$P$125,MATCH($B18&amp;"|"&amp;R$7,Schedule!$R$6:$R$125,0))=1,INDEX(Schedule!$F$6:$F$125,MATCH($B18&amp;"|"&amp;R$7,Schedule!$R$6:$R$125,0))&amp;"–"&amp;INDEX(Schedule!$E$6:$E$125,MATCH($B18&amp;"|"&amp;R$7,Schedule!$R$6:$R$125,0)),""),""))))</f>
        <v/>
      </c>
    </row>
    <row r="19" customFormat="false" ht="15" hidden="false" customHeight="false" outlineLevel="0" collapsed="false">
      <c r="B19" s="27" t="str">
        <f aca="false">IF(Setup!$C$27="","",Setup!$C$27)</f>
        <v/>
      </c>
      <c r="C19" s="16" t="str">
        <f aca="false">IF(OR($B19="",C$7=""),"",IF($B19=C$7,"—",IFERROR(IF(INDEX(Schedule!$P$6:$P$125,MATCH($B19&amp;"|"&amp;C$7,Schedule!$Q$6:$Q$125,0))=1,INDEX(Schedule!$E$6:$E$125,MATCH($B19&amp;"|"&amp;C$7,Schedule!$Q$6:$Q$125,0))&amp;"–"&amp;INDEX(Schedule!$F$6:$F$125,MATCH($B19&amp;"|"&amp;C$7,Schedule!$Q$6:$Q$125,0)),""),IFERROR(IF(INDEX(Schedule!$P$6:$P$125,MATCH($B19&amp;"|"&amp;C$7,Schedule!$R$6:$R$125,0))=1,INDEX(Schedule!$F$6:$F$125,MATCH($B19&amp;"|"&amp;C$7,Schedule!$R$6:$R$125,0))&amp;"–"&amp;INDEX(Schedule!$E$6:$E$125,MATCH($B19&amp;"|"&amp;C$7,Schedule!$R$6:$R$125,0)),""),""))))</f>
        <v/>
      </c>
      <c r="D19" s="16" t="str">
        <f aca="false">IF(OR($B19="",D$7=""),"",IF($B19=D$7,"—",IFERROR(IF(INDEX(Schedule!$P$6:$P$125,MATCH($B19&amp;"|"&amp;D$7,Schedule!$Q$6:$Q$125,0))=1,INDEX(Schedule!$E$6:$E$125,MATCH($B19&amp;"|"&amp;D$7,Schedule!$Q$6:$Q$125,0))&amp;"–"&amp;INDEX(Schedule!$F$6:$F$125,MATCH($B19&amp;"|"&amp;D$7,Schedule!$Q$6:$Q$125,0)),""),IFERROR(IF(INDEX(Schedule!$P$6:$P$125,MATCH($B19&amp;"|"&amp;D$7,Schedule!$R$6:$R$125,0))=1,INDEX(Schedule!$F$6:$F$125,MATCH($B19&amp;"|"&amp;D$7,Schedule!$R$6:$R$125,0))&amp;"–"&amp;INDEX(Schedule!$E$6:$E$125,MATCH($B19&amp;"|"&amp;D$7,Schedule!$R$6:$R$125,0)),""),""))))</f>
        <v/>
      </c>
      <c r="E19" s="16" t="str">
        <f aca="false">IF(OR($B19="",E$7=""),"",IF($B19=E$7,"—",IFERROR(IF(INDEX(Schedule!$P$6:$P$125,MATCH($B19&amp;"|"&amp;E$7,Schedule!$Q$6:$Q$125,0))=1,INDEX(Schedule!$E$6:$E$125,MATCH($B19&amp;"|"&amp;E$7,Schedule!$Q$6:$Q$125,0))&amp;"–"&amp;INDEX(Schedule!$F$6:$F$125,MATCH($B19&amp;"|"&amp;E$7,Schedule!$Q$6:$Q$125,0)),""),IFERROR(IF(INDEX(Schedule!$P$6:$P$125,MATCH($B19&amp;"|"&amp;E$7,Schedule!$R$6:$R$125,0))=1,INDEX(Schedule!$F$6:$F$125,MATCH($B19&amp;"|"&amp;E$7,Schedule!$R$6:$R$125,0))&amp;"–"&amp;INDEX(Schedule!$E$6:$E$125,MATCH($B19&amp;"|"&amp;E$7,Schedule!$R$6:$R$125,0)),""),""))))</f>
        <v/>
      </c>
      <c r="F19" s="16" t="str">
        <f aca="false">IF(OR($B19="",F$7=""),"",IF($B19=F$7,"—",IFERROR(IF(INDEX(Schedule!$P$6:$P$125,MATCH($B19&amp;"|"&amp;F$7,Schedule!$Q$6:$Q$125,0))=1,INDEX(Schedule!$E$6:$E$125,MATCH($B19&amp;"|"&amp;F$7,Schedule!$Q$6:$Q$125,0))&amp;"–"&amp;INDEX(Schedule!$F$6:$F$125,MATCH($B19&amp;"|"&amp;F$7,Schedule!$Q$6:$Q$125,0)),""),IFERROR(IF(INDEX(Schedule!$P$6:$P$125,MATCH($B19&amp;"|"&amp;F$7,Schedule!$R$6:$R$125,0))=1,INDEX(Schedule!$F$6:$F$125,MATCH($B19&amp;"|"&amp;F$7,Schedule!$R$6:$R$125,0))&amp;"–"&amp;INDEX(Schedule!$E$6:$E$125,MATCH($B19&amp;"|"&amp;F$7,Schedule!$R$6:$R$125,0)),""),""))))</f>
        <v/>
      </c>
      <c r="G19" s="16" t="str">
        <f aca="false">IF(OR($B19="",G$7=""),"",IF($B19=G$7,"—",IFERROR(IF(INDEX(Schedule!$P$6:$P$125,MATCH($B19&amp;"|"&amp;G$7,Schedule!$Q$6:$Q$125,0))=1,INDEX(Schedule!$E$6:$E$125,MATCH($B19&amp;"|"&amp;G$7,Schedule!$Q$6:$Q$125,0))&amp;"–"&amp;INDEX(Schedule!$F$6:$F$125,MATCH($B19&amp;"|"&amp;G$7,Schedule!$Q$6:$Q$125,0)),""),IFERROR(IF(INDEX(Schedule!$P$6:$P$125,MATCH($B19&amp;"|"&amp;G$7,Schedule!$R$6:$R$125,0))=1,INDEX(Schedule!$F$6:$F$125,MATCH($B19&amp;"|"&amp;G$7,Schedule!$R$6:$R$125,0))&amp;"–"&amp;INDEX(Schedule!$E$6:$E$125,MATCH($B19&amp;"|"&amp;G$7,Schedule!$R$6:$R$125,0)),""),""))))</f>
        <v/>
      </c>
      <c r="H19" s="16" t="str">
        <f aca="false">IF(OR($B19="",H$7=""),"",IF($B19=H$7,"—",IFERROR(IF(INDEX(Schedule!$P$6:$P$125,MATCH($B19&amp;"|"&amp;H$7,Schedule!$Q$6:$Q$125,0))=1,INDEX(Schedule!$E$6:$E$125,MATCH($B19&amp;"|"&amp;H$7,Schedule!$Q$6:$Q$125,0))&amp;"–"&amp;INDEX(Schedule!$F$6:$F$125,MATCH($B19&amp;"|"&amp;H$7,Schedule!$Q$6:$Q$125,0)),""),IFERROR(IF(INDEX(Schedule!$P$6:$P$125,MATCH($B19&amp;"|"&amp;H$7,Schedule!$R$6:$R$125,0))=1,INDEX(Schedule!$F$6:$F$125,MATCH($B19&amp;"|"&amp;H$7,Schedule!$R$6:$R$125,0))&amp;"–"&amp;INDEX(Schedule!$E$6:$E$125,MATCH($B19&amp;"|"&amp;H$7,Schedule!$R$6:$R$125,0)),""),""))))</f>
        <v/>
      </c>
      <c r="I19" s="16" t="str">
        <f aca="false">IF(OR($B19="",I$7=""),"",IF($B19=I$7,"—",IFERROR(IF(INDEX(Schedule!$P$6:$P$125,MATCH($B19&amp;"|"&amp;I$7,Schedule!$Q$6:$Q$125,0))=1,INDEX(Schedule!$E$6:$E$125,MATCH($B19&amp;"|"&amp;I$7,Schedule!$Q$6:$Q$125,0))&amp;"–"&amp;INDEX(Schedule!$F$6:$F$125,MATCH($B19&amp;"|"&amp;I$7,Schedule!$Q$6:$Q$125,0)),""),IFERROR(IF(INDEX(Schedule!$P$6:$P$125,MATCH($B19&amp;"|"&amp;I$7,Schedule!$R$6:$R$125,0))=1,INDEX(Schedule!$F$6:$F$125,MATCH($B19&amp;"|"&amp;I$7,Schedule!$R$6:$R$125,0))&amp;"–"&amp;INDEX(Schedule!$E$6:$E$125,MATCH($B19&amp;"|"&amp;I$7,Schedule!$R$6:$R$125,0)),""),""))))</f>
        <v/>
      </c>
      <c r="J19" s="16" t="str">
        <f aca="false">IF(OR($B19="",J$7=""),"",IF($B19=J$7,"—",IFERROR(IF(INDEX(Schedule!$P$6:$P$125,MATCH($B19&amp;"|"&amp;J$7,Schedule!$Q$6:$Q$125,0))=1,INDEX(Schedule!$E$6:$E$125,MATCH($B19&amp;"|"&amp;J$7,Schedule!$Q$6:$Q$125,0))&amp;"–"&amp;INDEX(Schedule!$F$6:$F$125,MATCH($B19&amp;"|"&amp;J$7,Schedule!$Q$6:$Q$125,0)),""),IFERROR(IF(INDEX(Schedule!$P$6:$P$125,MATCH($B19&amp;"|"&amp;J$7,Schedule!$R$6:$R$125,0))=1,INDEX(Schedule!$F$6:$F$125,MATCH($B19&amp;"|"&amp;J$7,Schedule!$R$6:$R$125,0))&amp;"–"&amp;INDEX(Schedule!$E$6:$E$125,MATCH($B19&amp;"|"&amp;J$7,Schedule!$R$6:$R$125,0)),""),""))))</f>
        <v/>
      </c>
      <c r="K19" s="16" t="str">
        <f aca="false">IF(OR($B19="",K$7=""),"",IF($B19=K$7,"—",IFERROR(IF(INDEX(Schedule!$P$6:$P$125,MATCH($B19&amp;"|"&amp;K$7,Schedule!$Q$6:$Q$125,0))=1,INDEX(Schedule!$E$6:$E$125,MATCH($B19&amp;"|"&amp;K$7,Schedule!$Q$6:$Q$125,0))&amp;"–"&amp;INDEX(Schedule!$F$6:$F$125,MATCH($B19&amp;"|"&amp;K$7,Schedule!$Q$6:$Q$125,0)),""),IFERROR(IF(INDEX(Schedule!$P$6:$P$125,MATCH($B19&amp;"|"&amp;K$7,Schedule!$R$6:$R$125,0))=1,INDEX(Schedule!$F$6:$F$125,MATCH($B19&amp;"|"&amp;K$7,Schedule!$R$6:$R$125,0))&amp;"–"&amp;INDEX(Schedule!$E$6:$E$125,MATCH($B19&amp;"|"&amp;K$7,Schedule!$R$6:$R$125,0)),""),""))))</f>
        <v/>
      </c>
      <c r="L19" s="16" t="str">
        <f aca="false">IF(OR($B19="",L$7=""),"",IF($B19=L$7,"—",IFERROR(IF(INDEX(Schedule!$P$6:$P$125,MATCH($B19&amp;"|"&amp;L$7,Schedule!$Q$6:$Q$125,0))=1,INDEX(Schedule!$E$6:$E$125,MATCH($B19&amp;"|"&amp;L$7,Schedule!$Q$6:$Q$125,0))&amp;"–"&amp;INDEX(Schedule!$F$6:$F$125,MATCH($B19&amp;"|"&amp;L$7,Schedule!$Q$6:$Q$125,0)),""),IFERROR(IF(INDEX(Schedule!$P$6:$P$125,MATCH($B19&amp;"|"&amp;L$7,Schedule!$R$6:$R$125,0))=1,INDEX(Schedule!$F$6:$F$125,MATCH($B19&amp;"|"&amp;L$7,Schedule!$R$6:$R$125,0))&amp;"–"&amp;INDEX(Schedule!$E$6:$E$125,MATCH($B19&amp;"|"&amp;L$7,Schedule!$R$6:$R$125,0)),""),""))))</f>
        <v/>
      </c>
      <c r="M19" s="16" t="str">
        <f aca="false">IF(OR($B19="",M$7=""),"",IF($B19=M$7,"—",IFERROR(IF(INDEX(Schedule!$P$6:$P$125,MATCH($B19&amp;"|"&amp;M$7,Schedule!$Q$6:$Q$125,0))=1,INDEX(Schedule!$E$6:$E$125,MATCH($B19&amp;"|"&amp;M$7,Schedule!$Q$6:$Q$125,0))&amp;"–"&amp;INDEX(Schedule!$F$6:$F$125,MATCH($B19&amp;"|"&amp;M$7,Schedule!$Q$6:$Q$125,0)),""),IFERROR(IF(INDEX(Schedule!$P$6:$P$125,MATCH($B19&amp;"|"&amp;M$7,Schedule!$R$6:$R$125,0))=1,INDEX(Schedule!$F$6:$F$125,MATCH($B19&amp;"|"&amp;M$7,Schedule!$R$6:$R$125,0))&amp;"–"&amp;INDEX(Schedule!$E$6:$E$125,MATCH($B19&amp;"|"&amp;M$7,Schedule!$R$6:$R$125,0)),""),""))))</f>
        <v/>
      </c>
      <c r="N19" s="16" t="str">
        <f aca="false">IF(OR($B19="",N$7=""),"",IF($B19=N$7,"—",IFERROR(IF(INDEX(Schedule!$P$6:$P$125,MATCH($B19&amp;"|"&amp;N$7,Schedule!$Q$6:$Q$125,0))=1,INDEX(Schedule!$E$6:$E$125,MATCH($B19&amp;"|"&amp;N$7,Schedule!$Q$6:$Q$125,0))&amp;"–"&amp;INDEX(Schedule!$F$6:$F$125,MATCH($B19&amp;"|"&amp;N$7,Schedule!$Q$6:$Q$125,0)),""),IFERROR(IF(INDEX(Schedule!$P$6:$P$125,MATCH($B19&amp;"|"&amp;N$7,Schedule!$R$6:$R$125,0))=1,INDEX(Schedule!$F$6:$F$125,MATCH($B19&amp;"|"&amp;N$7,Schedule!$R$6:$R$125,0))&amp;"–"&amp;INDEX(Schedule!$E$6:$E$125,MATCH($B19&amp;"|"&amp;N$7,Schedule!$R$6:$R$125,0)),""),""))))</f>
        <v/>
      </c>
      <c r="O19" s="16" t="str">
        <f aca="false">IF(OR($B19="",O$7=""),"",IF($B19=O$7,"—",IFERROR(IF(INDEX(Schedule!$P$6:$P$125,MATCH($B19&amp;"|"&amp;O$7,Schedule!$Q$6:$Q$125,0))=1,INDEX(Schedule!$E$6:$E$125,MATCH($B19&amp;"|"&amp;O$7,Schedule!$Q$6:$Q$125,0))&amp;"–"&amp;INDEX(Schedule!$F$6:$F$125,MATCH($B19&amp;"|"&amp;O$7,Schedule!$Q$6:$Q$125,0)),""),IFERROR(IF(INDEX(Schedule!$P$6:$P$125,MATCH($B19&amp;"|"&amp;O$7,Schedule!$R$6:$R$125,0))=1,INDEX(Schedule!$F$6:$F$125,MATCH($B19&amp;"|"&amp;O$7,Schedule!$R$6:$R$125,0))&amp;"–"&amp;INDEX(Schedule!$E$6:$E$125,MATCH($B19&amp;"|"&amp;O$7,Schedule!$R$6:$R$125,0)),""),""))))</f>
        <v/>
      </c>
      <c r="P19" s="16" t="str">
        <f aca="false">IF(OR($B19="",P$7=""),"",IF($B19=P$7,"—",IFERROR(IF(INDEX(Schedule!$P$6:$P$125,MATCH($B19&amp;"|"&amp;P$7,Schedule!$Q$6:$Q$125,0))=1,INDEX(Schedule!$E$6:$E$125,MATCH($B19&amp;"|"&amp;P$7,Schedule!$Q$6:$Q$125,0))&amp;"–"&amp;INDEX(Schedule!$F$6:$F$125,MATCH($B19&amp;"|"&amp;P$7,Schedule!$Q$6:$Q$125,0)),""),IFERROR(IF(INDEX(Schedule!$P$6:$P$125,MATCH($B19&amp;"|"&amp;P$7,Schedule!$R$6:$R$125,0))=1,INDEX(Schedule!$F$6:$F$125,MATCH($B19&amp;"|"&amp;P$7,Schedule!$R$6:$R$125,0))&amp;"–"&amp;INDEX(Schedule!$E$6:$E$125,MATCH($B19&amp;"|"&amp;P$7,Schedule!$R$6:$R$125,0)),""),""))))</f>
        <v/>
      </c>
      <c r="Q19" s="16" t="str">
        <f aca="false">IF(OR($B19="",Q$7=""),"",IF($B19=Q$7,"—",IFERROR(IF(INDEX(Schedule!$P$6:$P$125,MATCH($B19&amp;"|"&amp;Q$7,Schedule!$Q$6:$Q$125,0))=1,INDEX(Schedule!$E$6:$E$125,MATCH($B19&amp;"|"&amp;Q$7,Schedule!$Q$6:$Q$125,0))&amp;"–"&amp;INDEX(Schedule!$F$6:$F$125,MATCH($B19&amp;"|"&amp;Q$7,Schedule!$Q$6:$Q$125,0)),""),IFERROR(IF(INDEX(Schedule!$P$6:$P$125,MATCH($B19&amp;"|"&amp;Q$7,Schedule!$R$6:$R$125,0))=1,INDEX(Schedule!$F$6:$F$125,MATCH($B19&amp;"|"&amp;Q$7,Schedule!$R$6:$R$125,0))&amp;"–"&amp;INDEX(Schedule!$E$6:$E$125,MATCH($B19&amp;"|"&amp;Q$7,Schedule!$R$6:$R$125,0)),""),""))))</f>
        <v/>
      </c>
      <c r="R19" s="16" t="str">
        <f aca="false">IF(OR($B19="",R$7=""),"",IF($B19=R$7,"—",IFERROR(IF(INDEX(Schedule!$P$6:$P$125,MATCH($B19&amp;"|"&amp;R$7,Schedule!$Q$6:$Q$125,0))=1,INDEX(Schedule!$E$6:$E$125,MATCH($B19&amp;"|"&amp;R$7,Schedule!$Q$6:$Q$125,0))&amp;"–"&amp;INDEX(Schedule!$F$6:$F$125,MATCH($B19&amp;"|"&amp;R$7,Schedule!$Q$6:$Q$125,0)),""),IFERROR(IF(INDEX(Schedule!$P$6:$P$125,MATCH($B19&amp;"|"&amp;R$7,Schedule!$R$6:$R$125,0))=1,INDEX(Schedule!$F$6:$F$125,MATCH($B19&amp;"|"&amp;R$7,Schedule!$R$6:$R$125,0))&amp;"–"&amp;INDEX(Schedule!$E$6:$E$125,MATCH($B19&amp;"|"&amp;R$7,Schedule!$R$6:$R$125,0)),""),""))))</f>
        <v/>
      </c>
    </row>
    <row r="20" customFormat="false" ht="15" hidden="false" customHeight="false" outlineLevel="0" collapsed="false">
      <c r="B20" s="27" t="str">
        <f aca="false">IF(Setup!$C$28="","",Setup!$C$28)</f>
        <v/>
      </c>
      <c r="C20" s="16" t="str">
        <f aca="false">IF(OR($B20="",C$7=""),"",IF($B20=C$7,"—",IFERROR(IF(INDEX(Schedule!$P$6:$P$125,MATCH($B20&amp;"|"&amp;C$7,Schedule!$Q$6:$Q$125,0))=1,INDEX(Schedule!$E$6:$E$125,MATCH($B20&amp;"|"&amp;C$7,Schedule!$Q$6:$Q$125,0))&amp;"–"&amp;INDEX(Schedule!$F$6:$F$125,MATCH($B20&amp;"|"&amp;C$7,Schedule!$Q$6:$Q$125,0)),""),IFERROR(IF(INDEX(Schedule!$P$6:$P$125,MATCH($B20&amp;"|"&amp;C$7,Schedule!$R$6:$R$125,0))=1,INDEX(Schedule!$F$6:$F$125,MATCH($B20&amp;"|"&amp;C$7,Schedule!$R$6:$R$125,0))&amp;"–"&amp;INDEX(Schedule!$E$6:$E$125,MATCH($B20&amp;"|"&amp;C$7,Schedule!$R$6:$R$125,0)),""),""))))</f>
        <v/>
      </c>
      <c r="D20" s="16" t="str">
        <f aca="false">IF(OR($B20="",D$7=""),"",IF($B20=D$7,"—",IFERROR(IF(INDEX(Schedule!$P$6:$P$125,MATCH($B20&amp;"|"&amp;D$7,Schedule!$Q$6:$Q$125,0))=1,INDEX(Schedule!$E$6:$E$125,MATCH($B20&amp;"|"&amp;D$7,Schedule!$Q$6:$Q$125,0))&amp;"–"&amp;INDEX(Schedule!$F$6:$F$125,MATCH($B20&amp;"|"&amp;D$7,Schedule!$Q$6:$Q$125,0)),""),IFERROR(IF(INDEX(Schedule!$P$6:$P$125,MATCH($B20&amp;"|"&amp;D$7,Schedule!$R$6:$R$125,0))=1,INDEX(Schedule!$F$6:$F$125,MATCH($B20&amp;"|"&amp;D$7,Schedule!$R$6:$R$125,0))&amp;"–"&amp;INDEX(Schedule!$E$6:$E$125,MATCH($B20&amp;"|"&amp;D$7,Schedule!$R$6:$R$125,0)),""),""))))</f>
        <v/>
      </c>
      <c r="E20" s="16" t="str">
        <f aca="false">IF(OR($B20="",E$7=""),"",IF($B20=E$7,"—",IFERROR(IF(INDEX(Schedule!$P$6:$P$125,MATCH($B20&amp;"|"&amp;E$7,Schedule!$Q$6:$Q$125,0))=1,INDEX(Schedule!$E$6:$E$125,MATCH($B20&amp;"|"&amp;E$7,Schedule!$Q$6:$Q$125,0))&amp;"–"&amp;INDEX(Schedule!$F$6:$F$125,MATCH($B20&amp;"|"&amp;E$7,Schedule!$Q$6:$Q$125,0)),""),IFERROR(IF(INDEX(Schedule!$P$6:$P$125,MATCH($B20&amp;"|"&amp;E$7,Schedule!$R$6:$R$125,0))=1,INDEX(Schedule!$F$6:$F$125,MATCH($B20&amp;"|"&amp;E$7,Schedule!$R$6:$R$125,0))&amp;"–"&amp;INDEX(Schedule!$E$6:$E$125,MATCH($B20&amp;"|"&amp;E$7,Schedule!$R$6:$R$125,0)),""),""))))</f>
        <v/>
      </c>
      <c r="F20" s="16" t="str">
        <f aca="false">IF(OR($B20="",F$7=""),"",IF($B20=F$7,"—",IFERROR(IF(INDEX(Schedule!$P$6:$P$125,MATCH($B20&amp;"|"&amp;F$7,Schedule!$Q$6:$Q$125,0))=1,INDEX(Schedule!$E$6:$E$125,MATCH($B20&amp;"|"&amp;F$7,Schedule!$Q$6:$Q$125,0))&amp;"–"&amp;INDEX(Schedule!$F$6:$F$125,MATCH($B20&amp;"|"&amp;F$7,Schedule!$Q$6:$Q$125,0)),""),IFERROR(IF(INDEX(Schedule!$P$6:$P$125,MATCH($B20&amp;"|"&amp;F$7,Schedule!$R$6:$R$125,0))=1,INDEX(Schedule!$F$6:$F$125,MATCH($B20&amp;"|"&amp;F$7,Schedule!$R$6:$R$125,0))&amp;"–"&amp;INDEX(Schedule!$E$6:$E$125,MATCH($B20&amp;"|"&amp;F$7,Schedule!$R$6:$R$125,0)),""),""))))</f>
        <v/>
      </c>
      <c r="G20" s="16" t="str">
        <f aca="false">IF(OR($B20="",G$7=""),"",IF($B20=G$7,"—",IFERROR(IF(INDEX(Schedule!$P$6:$P$125,MATCH($B20&amp;"|"&amp;G$7,Schedule!$Q$6:$Q$125,0))=1,INDEX(Schedule!$E$6:$E$125,MATCH($B20&amp;"|"&amp;G$7,Schedule!$Q$6:$Q$125,0))&amp;"–"&amp;INDEX(Schedule!$F$6:$F$125,MATCH($B20&amp;"|"&amp;G$7,Schedule!$Q$6:$Q$125,0)),""),IFERROR(IF(INDEX(Schedule!$P$6:$P$125,MATCH($B20&amp;"|"&amp;G$7,Schedule!$R$6:$R$125,0))=1,INDEX(Schedule!$F$6:$F$125,MATCH($B20&amp;"|"&amp;G$7,Schedule!$R$6:$R$125,0))&amp;"–"&amp;INDEX(Schedule!$E$6:$E$125,MATCH($B20&amp;"|"&amp;G$7,Schedule!$R$6:$R$125,0)),""),""))))</f>
        <v/>
      </c>
      <c r="H20" s="16" t="str">
        <f aca="false">IF(OR($B20="",H$7=""),"",IF($B20=H$7,"—",IFERROR(IF(INDEX(Schedule!$P$6:$P$125,MATCH($B20&amp;"|"&amp;H$7,Schedule!$Q$6:$Q$125,0))=1,INDEX(Schedule!$E$6:$E$125,MATCH($B20&amp;"|"&amp;H$7,Schedule!$Q$6:$Q$125,0))&amp;"–"&amp;INDEX(Schedule!$F$6:$F$125,MATCH($B20&amp;"|"&amp;H$7,Schedule!$Q$6:$Q$125,0)),""),IFERROR(IF(INDEX(Schedule!$P$6:$P$125,MATCH($B20&amp;"|"&amp;H$7,Schedule!$R$6:$R$125,0))=1,INDEX(Schedule!$F$6:$F$125,MATCH($B20&amp;"|"&amp;H$7,Schedule!$R$6:$R$125,0))&amp;"–"&amp;INDEX(Schedule!$E$6:$E$125,MATCH($B20&amp;"|"&amp;H$7,Schedule!$R$6:$R$125,0)),""),""))))</f>
        <v/>
      </c>
      <c r="I20" s="16" t="str">
        <f aca="false">IF(OR($B20="",I$7=""),"",IF($B20=I$7,"—",IFERROR(IF(INDEX(Schedule!$P$6:$P$125,MATCH($B20&amp;"|"&amp;I$7,Schedule!$Q$6:$Q$125,0))=1,INDEX(Schedule!$E$6:$E$125,MATCH($B20&amp;"|"&amp;I$7,Schedule!$Q$6:$Q$125,0))&amp;"–"&amp;INDEX(Schedule!$F$6:$F$125,MATCH($B20&amp;"|"&amp;I$7,Schedule!$Q$6:$Q$125,0)),""),IFERROR(IF(INDEX(Schedule!$P$6:$P$125,MATCH($B20&amp;"|"&amp;I$7,Schedule!$R$6:$R$125,0))=1,INDEX(Schedule!$F$6:$F$125,MATCH($B20&amp;"|"&amp;I$7,Schedule!$R$6:$R$125,0))&amp;"–"&amp;INDEX(Schedule!$E$6:$E$125,MATCH($B20&amp;"|"&amp;I$7,Schedule!$R$6:$R$125,0)),""),""))))</f>
        <v/>
      </c>
      <c r="J20" s="16" t="str">
        <f aca="false">IF(OR($B20="",J$7=""),"",IF($B20=J$7,"—",IFERROR(IF(INDEX(Schedule!$P$6:$P$125,MATCH($B20&amp;"|"&amp;J$7,Schedule!$Q$6:$Q$125,0))=1,INDEX(Schedule!$E$6:$E$125,MATCH($B20&amp;"|"&amp;J$7,Schedule!$Q$6:$Q$125,0))&amp;"–"&amp;INDEX(Schedule!$F$6:$F$125,MATCH($B20&amp;"|"&amp;J$7,Schedule!$Q$6:$Q$125,0)),""),IFERROR(IF(INDEX(Schedule!$P$6:$P$125,MATCH($B20&amp;"|"&amp;J$7,Schedule!$R$6:$R$125,0))=1,INDEX(Schedule!$F$6:$F$125,MATCH($B20&amp;"|"&amp;J$7,Schedule!$R$6:$R$125,0))&amp;"–"&amp;INDEX(Schedule!$E$6:$E$125,MATCH($B20&amp;"|"&amp;J$7,Schedule!$R$6:$R$125,0)),""),""))))</f>
        <v/>
      </c>
      <c r="K20" s="16" t="str">
        <f aca="false">IF(OR($B20="",K$7=""),"",IF($B20=K$7,"—",IFERROR(IF(INDEX(Schedule!$P$6:$P$125,MATCH($B20&amp;"|"&amp;K$7,Schedule!$Q$6:$Q$125,0))=1,INDEX(Schedule!$E$6:$E$125,MATCH($B20&amp;"|"&amp;K$7,Schedule!$Q$6:$Q$125,0))&amp;"–"&amp;INDEX(Schedule!$F$6:$F$125,MATCH($B20&amp;"|"&amp;K$7,Schedule!$Q$6:$Q$125,0)),""),IFERROR(IF(INDEX(Schedule!$P$6:$P$125,MATCH($B20&amp;"|"&amp;K$7,Schedule!$R$6:$R$125,0))=1,INDEX(Schedule!$F$6:$F$125,MATCH($B20&amp;"|"&amp;K$7,Schedule!$R$6:$R$125,0))&amp;"–"&amp;INDEX(Schedule!$E$6:$E$125,MATCH($B20&amp;"|"&amp;K$7,Schedule!$R$6:$R$125,0)),""),""))))</f>
        <v/>
      </c>
      <c r="L20" s="16" t="str">
        <f aca="false">IF(OR($B20="",L$7=""),"",IF($B20=L$7,"—",IFERROR(IF(INDEX(Schedule!$P$6:$P$125,MATCH($B20&amp;"|"&amp;L$7,Schedule!$Q$6:$Q$125,0))=1,INDEX(Schedule!$E$6:$E$125,MATCH($B20&amp;"|"&amp;L$7,Schedule!$Q$6:$Q$125,0))&amp;"–"&amp;INDEX(Schedule!$F$6:$F$125,MATCH($B20&amp;"|"&amp;L$7,Schedule!$Q$6:$Q$125,0)),""),IFERROR(IF(INDEX(Schedule!$P$6:$P$125,MATCH($B20&amp;"|"&amp;L$7,Schedule!$R$6:$R$125,0))=1,INDEX(Schedule!$F$6:$F$125,MATCH($B20&amp;"|"&amp;L$7,Schedule!$R$6:$R$125,0))&amp;"–"&amp;INDEX(Schedule!$E$6:$E$125,MATCH($B20&amp;"|"&amp;L$7,Schedule!$R$6:$R$125,0)),""),""))))</f>
        <v/>
      </c>
      <c r="M20" s="16" t="str">
        <f aca="false">IF(OR($B20="",M$7=""),"",IF($B20=M$7,"—",IFERROR(IF(INDEX(Schedule!$P$6:$P$125,MATCH($B20&amp;"|"&amp;M$7,Schedule!$Q$6:$Q$125,0))=1,INDEX(Schedule!$E$6:$E$125,MATCH($B20&amp;"|"&amp;M$7,Schedule!$Q$6:$Q$125,0))&amp;"–"&amp;INDEX(Schedule!$F$6:$F$125,MATCH($B20&amp;"|"&amp;M$7,Schedule!$Q$6:$Q$125,0)),""),IFERROR(IF(INDEX(Schedule!$P$6:$P$125,MATCH($B20&amp;"|"&amp;M$7,Schedule!$R$6:$R$125,0))=1,INDEX(Schedule!$F$6:$F$125,MATCH($B20&amp;"|"&amp;M$7,Schedule!$R$6:$R$125,0))&amp;"–"&amp;INDEX(Schedule!$E$6:$E$125,MATCH($B20&amp;"|"&amp;M$7,Schedule!$R$6:$R$125,0)),""),""))))</f>
        <v/>
      </c>
      <c r="N20" s="16" t="str">
        <f aca="false">IF(OR($B20="",N$7=""),"",IF($B20=N$7,"—",IFERROR(IF(INDEX(Schedule!$P$6:$P$125,MATCH($B20&amp;"|"&amp;N$7,Schedule!$Q$6:$Q$125,0))=1,INDEX(Schedule!$E$6:$E$125,MATCH($B20&amp;"|"&amp;N$7,Schedule!$Q$6:$Q$125,0))&amp;"–"&amp;INDEX(Schedule!$F$6:$F$125,MATCH($B20&amp;"|"&amp;N$7,Schedule!$Q$6:$Q$125,0)),""),IFERROR(IF(INDEX(Schedule!$P$6:$P$125,MATCH($B20&amp;"|"&amp;N$7,Schedule!$R$6:$R$125,0))=1,INDEX(Schedule!$F$6:$F$125,MATCH($B20&amp;"|"&amp;N$7,Schedule!$R$6:$R$125,0))&amp;"–"&amp;INDEX(Schedule!$E$6:$E$125,MATCH($B20&amp;"|"&amp;N$7,Schedule!$R$6:$R$125,0)),""),""))))</f>
        <v/>
      </c>
      <c r="O20" s="16" t="str">
        <f aca="false">IF(OR($B20="",O$7=""),"",IF($B20=O$7,"—",IFERROR(IF(INDEX(Schedule!$P$6:$P$125,MATCH($B20&amp;"|"&amp;O$7,Schedule!$Q$6:$Q$125,0))=1,INDEX(Schedule!$E$6:$E$125,MATCH($B20&amp;"|"&amp;O$7,Schedule!$Q$6:$Q$125,0))&amp;"–"&amp;INDEX(Schedule!$F$6:$F$125,MATCH($B20&amp;"|"&amp;O$7,Schedule!$Q$6:$Q$125,0)),""),IFERROR(IF(INDEX(Schedule!$P$6:$P$125,MATCH($B20&amp;"|"&amp;O$7,Schedule!$R$6:$R$125,0))=1,INDEX(Schedule!$F$6:$F$125,MATCH($B20&amp;"|"&amp;O$7,Schedule!$R$6:$R$125,0))&amp;"–"&amp;INDEX(Schedule!$E$6:$E$125,MATCH($B20&amp;"|"&amp;O$7,Schedule!$R$6:$R$125,0)),""),""))))</f>
        <v/>
      </c>
      <c r="P20" s="16" t="str">
        <f aca="false">IF(OR($B20="",P$7=""),"",IF($B20=P$7,"—",IFERROR(IF(INDEX(Schedule!$P$6:$P$125,MATCH($B20&amp;"|"&amp;P$7,Schedule!$Q$6:$Q$125,0))=1,INDEX(Schedule!$E$6:$E$125,MATCH($B20&amp;"|"&amp;P$7,Schedule!$Q$6:$Q$125,0))&amp;"–"&amp;INDEX(Schedule!$F$6:$F$125,MATCH($B20&amp;"|"&amp;P$7,Schedule!$Q$6:$Q$125,0)),""),IFERROR(IF(INDEX(Schedule!$P$6:$P$125,MATCH($B20&amp;"|"&amp;P$7,Schedule!$R$6:$R$125,0))=1,INDEX(Schedule!$F$6:$F$125,MATCH($B20&amp;"|"&amp;P$7,Schedule!$R$6:$R$125,0))&amp;"–"&amp;INDEX(Schedule!$E$6:$E$125,MATCH($B20&amp;"|"&amp;P$7,Schedule!$R$6:$R$125,0)),""),""))))</f>
        <v/>
      </c>
      <c r="Q20" s="16" t="str">
        <f aca="false">IF(OR($B20="",Q$7=""),"",IF($B20=Q$7,"—",IFERROR(IF(INDEX(Schedule!$P$6:$P$125,MATCH($B20&amp;"|"&amp;Q$7,Schedule!$Q$6:$Q$125,0))=1,INDEX(Schedule!$E$6:$E$125,MATCH($B20&amp;"|"&amp;Q$7,Schedule!$Q$6:$Q$125,0))&amp;"–"&amp;INDEX(Schedule!$F$6:$F$125,MATCH($B20&amp;"|"&amp;Q$7,Schedule!$Q$6:$Q$125,0)),""),IFERROR(IF(INDEX(Schedule!$P$6:$P$125,MATCH($B20&amp;"|"&amp;Q$7,Schedule!$R$6:$R$125,0))=1,INDEX(Schedule!$F$6:$F$125,MATCH($B20&amp;"|"&amp;Q$7,Schedule!$R$6:$R$125,0))&amp;"–"&amp;INDEX(Schedule!$E$6:$E$125,MATCH($B20&amp;"|"&amp;Q$7,Schedule!$R$6:$R$125,0)),""),""))))</f>
        <v/>
      </c>
      <c r="R20" s="16" t="str">
        <f aca="false">IF(OR($B20="",R$7=""),"",IF($B20=R$7,"—",IFERROR(IF(INDEX(Schedule!$P$6:$P$125,MATCH($B20&amp;"|"&amp;R$7,Schedule!$Q$6:$Q$125,0))=1,INDEX(Schedule!$E$6:$E$125,MATCH($B20&amp;"|"&amp;R$7,Schedule!$Q$6:$Q$125,0))&amp;"–"&amp;INDEX(Schedule!$F$6:$F$125,MATCH($B20&amp;"|"&amp;R$7,Schedule!$Q$6:$Q$125,0)),""),IFERROR(IF(INDEX(Schedule!$P$6:$P$125,MATCH($B20&amp;"|"&amp;R$7,Schedule!$R$6:$R$125,0))=1,INDEX(Schedule!$F$6:$F$125,MATCH($B20&amp;"|"&amp;R$7,Schedule!$R$6:$R$125,0))&amp;"–"&amp;INDEX(Schedule!$E$6:$E$125,MATCH($B20&amp;"|"&amp;R$7,Schedule!$R$6:$R$125,0)),""),""))))</f>
        <v/>
      </c>
    </row>
    <row r="21" customFormat="false" ht="15" hidden="false" customHeight="false" outlineLevel="0" collapsed="false">
      <c r="B21" s="27" t="str">
        <f aca="false">IF(Setup!$C$29="","",Setup!$C$29)</f>
        <v/>
      </c>
      <c r="C21" s="16" t="str">
        <f aca="false">IF(OR($B21="",C$7=""),"",IF($B21=C$7,"—",IFERROR(IF(INDEX(Schedule!$P$6:$P$125,MATCH($B21&amp;"|"&amp;C$7,Schedule!$Q$6:$Q$125,0))=1,INDEX(Schedule!$E$6:$E$125,MATCH($B21&amp;"|"&amp;C$7,Schedule!$Q$6:$Q$125,0))&amp;"–"&amp;INDEX(Schedule!$F$6:$F$125,MATCH($B21&amp;"|"&amp;C$7,Schedule!$Q$6:$Q$125,0)),""),IFERROR(IF(INDEX(Schedule!$P$6:$P$125,MATCH($B21&amp;"|"&amp;C$7,Schedule!$R$6:$R$125,0))=1,INDEX(Schedule!$F$6:$F$125,MATCH($B21&amp;"|"&amp;C$7,Schedule!$R$6:$R$125,0))&amp;"–"&amp;INDEX(Schedule!$E$6:$E$125,MATCH($B21&amp;"|"&amp;C$7,Schedule!$R$6:$R$125,0)),""),""))))</f>
        <v/>
      </c>
      <c r="D21" s="16" t="str">
        <f aca="false">IF(OR($B21="",D$7=""),"",IF($B21=D$7,"—",IFERROR(IF(INDEX(Schedule!$P$6:$P$125,MATCH($B21&amp;"|"&amp;D$7,Schedule!$Q$6:$Q$125,0))=1,INDEX(Schedule!$E$6:$E$125,MATCH($B21&amp;"|"&amp;D$7,Schedule!$Q$6:$Q$125,0))&amp;"–"&amp;INDEX(Schedule!$F$6:$F$125,MATCH($B21&amp;"|"&amp;D$7,Schedule!$Q$6:$Q$125,0)),""),IFERROR(IF(INDEX(Schedule!$P$6:$P$125,MATCH($B21&amp;"|"&amp;D$7,Schedule!$R$6:$R$125,0))=1,INDEX(Schedule!$F$6:$F$125,MATCH($B21&amp;"|"&amp;D$7,Schedule!$R$6:$R$125,0))&amp;"–"&amp;INDEX(Schedule!$E$6:$E$125,MATCH($B21&amp;"|"&amp;D$7,Schedule!$R$6:$R$125,0)),""),""))))</f>
        <v/>
      </c>
      <c r="E21" s="16" t="str">
        <f aca="false">IF(OR($B21="",E$7=""),"",IF($B21=E$7,"—",IFERROR(IF(INDEX(Schedule!$P$6:$P$125,MATCH($B21&amp;"|"&amp;E$7,Schedule!$Q$6:$Q$125,0))=1,INDEX(Schedule!$E$6:$E$125,MATCH($B21&amp;"|"&amp;E$7,Schedule!$Q$6:$Q$125,0))&amp;"–"&amp;INDEX(Schedule!$F$6:$F$125,MATCH($B21&amp;"|"&amp;E$7,Schedule!$Q$6:$Q$125,0)),""),IFERROR(IF(INDEX(Schedule!$P$6:$P$125,MATCH($B21&amp;"|"&amp;E$7,Schedule!$R$6:$R$125,0))=1,INDEX(Schedule!$F$6:$F$125,MATCH($B21&amp;"|"&amp;E$7,Schedule!$R$6:$R$125,0))&amp;"–"&amp;INDEX(Schedule!$E$6:$E$125,MATCH($B21&amp;"|"&amp;E$7,Schedule!$R$6:$R$125,0)),""),""))))</f>
        <v/>
      </c>
      <c r="F21" s="16" t="str">
        <f aca="false">IF(OR($B21="",F$7=""),"",IF($B21=F$7,"—",IFERROR(IF(INDEX(Schedule!$P$6:$P$125,MATCH($B21&amp;"|"&amp;F$7,Schedule!$Q$6:$Q$125,0))=1,INDEX(Schedule!$E$6:$E$125,MATCH($B21&amp;"|"&amp;F$7,Schedule!$Q$6:$Q$125,0))&amp;"–"&amp;INDEX(Schedule!$F$6:$F$125,MATCH($B21&amp;"|"&amp;F$7,Schedule!$Q$6:$Q$125,0)),""),IFERROR(IF(INDEX(Schedule!$P$6:$P$125,MATCH($B21&amp;"|"&amp;F$7,Schedule!$R$6:$R$125,0))=1,INDEX(Schedule!$F$6:$F$125,MATCH($B21&amp;"|"&amp;F$7,Schedule!$R$6:$R$125,0))&amp;"–"&amp;INDEX(Schedule!$E$6:$E$125,MATCH($B21&amp;"|"&amp;F$7,Schedule!$R$6:$R$125,0)),""),""))))</f>
        <v/>
      </c>
      <c r="G21" s="16" t="str">
        <f aca="false">IF(OR($B21="",G$7=""),"",IF($B21=G$7,"—",IFERROR(IF(INDEX(Schedule!$P$6:$P$125,MATCH($B21&amp;"|"&amp;G$7,Schedule!$Q$6:$Q$125,0))=1,INDEX(Schedule!$E$6:$E$125,MATCH($B21&amp;"|"&amp;G$7,Schedule!$Q$6:$Q$125,0))&amp;"–"&amp;INDEX(Schedule!$F$6:$F$125,MATCH($B21&amp;"|"&amp;G$7,Schedule!$Q$6:$Q$125,0)),""),IFERROR(IF(INDEX(Schedule!$P$6:$P$125,MATCH($B21&amp;"|"&amp;G$7,Schedule!$R$6:$R$125,0))=1,INDEX(Schedule!$F$6:$F$125,MATCH($B21&amp;"|"&amp;G$7,Schedule!$R$6:$R$125,0))&amp;"–"&amp;INDEX(Schedule!$E$6:$E$125,MATCH($B21&amp;"|"&amp;G$7,Schedule!$R$6:$R$125,0)),""),""))))</f>
        <v/>
      </c>
      <c r="H21" s="16" t="str">
        <f aca="false">IF(OR($B21="",H$7=""),"",IF($B21=H$7,"—",IFERROR(IF(INDEX(Schedule!$P$6:$P$125,MATCH($B21&amp;"|"&amp;H$7,Schedule!$Q$6:$Q$125,0))=1,INDEX(Schedule!$E$6:$E$125,MATCH($B21&amp;"|"&amp;H$7,Schedule!$Q$6:$Q$125,0))&amp;"–"&amp;INDEX(Schedule!$F$6:$F$125,MATCH($B21&amp;"|"&amp;H$7,Schedule!$Q$6:$Q$125,0)),""),IFERROR(IF(INDEX(Schedule!$P$6:$P$125,MATCH($B21&amp;"|"&amp;H$7,Schedule!$R$6:$R$125,0))=1,INDEX(Schedule!$F$6:$F$125,MATCH($B21&amp;"|"&amp;H$7,Schedule!$R$6:$R$125,0))&amp;"–"&amp;INDEX(Schedule!$E$6:$E$125,MATCH($B21&amp;"|"&amp;H$7,Schedule!$R$6:$R$125,0)),""),""))))</f>
        <v/>
      </c>
      <c r="I21" s="16" t="str">
        <f aca="false">IF(OR($B21="",I$7=""),"",IF($B21=I$7,"—",IFERROR(IF(INDEX(Schedule!$P$6:$P$125,MATCH($B21&amp;"|"&amp;I$7,Schedule!$Q$6:$Q$125,0))=1,INDEX(Schedule!$E$6:$E$125,MATCH($B21&amp;"|"&amp;I$7,Schedule!$Q$6:$Q$125,0))&amp;"–"&amp;INDEX(Schedule!$F$6:$F$125,MATCH($B21&amp;"|"&amp;I$7,Schedule!$Q$6:$Q$125,0)),""),IFERROR(IF(INDEX(Schedule!$P$6:$P$125,MATCH($B21&amp;"|"&amp;I$7,Schedule!$R$6:$R$125,0))=1,INDEX(Schedule!$F$6:$F$125,MATCH($B21&amp;"|"&amp;I$7,Schedule!$R$6:$R$125,0))&amp;"–"&amp;INDEX(Schedule!$E$6:$E$125,MATCH($B21&amp;"|"&amp;I$7,Schedule!$R$6:$R$125,0)),""),""))))</f>
        <v/>
      </c>
      <c r="J21" s="16" t="str">
        <f aca="false">IF(OR($B21="",J$7=""),"",IF($B21=J$7,"—",IFERROR(IF(INDEX(Schedule!$P$6:$P$125,MATCH($B21&amp;"|"&amp;J$7,Schedule!$Q$6:$Q$125,0))=1,INDEX(Schedule!$E$6:$E$125,MATCH($B21&amp;"|"&amp;J$7,Schedule!$Q$6:$Q$125,0))&amp;"–"&amp;INDEX(Schedule!$F$6:$F$125,MATCH($B21&amp;"|"&amp;J$7,Schedule!$Q$6:$Q$125,0)),""),IFERROR(IF(INDEX(Schedule!$P$6:$P$125,MATCH($B21&amp;"|"&amp;J$7,Schedule!$R$6:$R$125,0))=1,INDEX(Schedule!$F$6:$F$125,MATCH($B21&amp;"|"&amp;J$7,Schedule!$R$6:$R$125,0))&amp;"–"&amp;INDEX(Schedule!$E$6:$E$125,MATCH($B21&amp;"|"&amp;J$7,Schedule!$R$6:$R$125,0)),""),""))))</f>
        <v/>
      </c>
      <c r="K21" s="16" t="str">
        <f aca="false">IF(OR($B21="",K$7=""),"",IF($B21=K$7,"—",IFERROR(IF(INDEX(Schedule!$P$6:$P$125,MATCH($B21&amp;"|"&amp;K$7,Schedule!$Q$6:$Q$125,0))=1,INDEX(Schedule!$E$6:$E$125,MATCH($B21&amp;"|"&amp;K$7,Schedule!$Q$6:$Q$125,0))&amp;"–"&amp;INDEX(Schedule!$F$6:$F$125,MATCH($B21&amp;"|"&amp;K$7,Schedule!$Q$6:$Q$125,0)),""),IFERROR(IF(INDEX(Schedule!$P$6:$P$125,MATCH($B21&amp;"|"&amp;K$7,Schedule!$R$6:$R$125,0))=1,INDEX(Schedule!$F$6:$F$125,MATCH($B21&amp;"|"&amp;K$7,Schedule!$R$6:$R$125,0))&amp;"–"&amp;INDEX(Schedule!$E$6:$E$125,MATCH($B21&amp;"|"&amp;K$7,Schedule!$R$6:$R$125,0)),""),""))))</f>
        <v/>
      </c>
      <c r="L21" s="16" t="str">
        <f aca="false">IF(OR($B21="",L$7=""),"",IF($B21=L$7,"—",IFERROR(IF(INDEX(Schedule!$P$6:$P$125,MATCH($B21&amp;"|"&amp;L$7,Schedule!$Q$6:$Q$125,0))=1,INDEX(Schedule!$E$6:$E$125,MATCH($B21&amp;"|"&amp;L$7,Schedule!$Q$6:$Q$125,0))&amp;"–"&amp;INDEX(Schedule!$F$6:$F$125,MATCH($B21&amp;"|"&amp;L$7,Schedule!$Q$6:$Q$125,0)),""),IFERROR(IF(INDEX(Schedule!$P$6:$P$125,MATCH($B21&amp;"|"&amp;L$7,Schedule!$R$6:$R$125,0))=1,INDEX(Schedule!$F$6:$F$125,MATCH($B21&amp;"|"&amp;L$7,Schedule!$R$6:$R$125,0))&amp;"–"&amp;INDEX(Schedule!$E$6:$E$125,MATCH($B21&amp;"|"&amp;L$7,Schedule!$R$6:$R$125,0)),""),""))))</f>
        <v/>
      </c>
      <c r="M21" s="16" t="str">
        <f aca="false">IF(OR($B21="",M$7=""),"",IF($B21=M$7,"—",IFERROR(IF(INDEX(Schedule!$P$6:$P$125,MATCH($B21&amp;"|"&amp;M$7,Schedule!$Q$6:$Q$125,0))=1,INDEX(Schedule!$E$6:$E$125,MATCH($B21&amp;"|"&amp;M$7,Schedule!$Q$6:$Q$125,0))&amp;"–"&amp;INDEX(Schedule!$F$6:$F$125,MATCH($B21&amp;"|"&amp;M$7,Schedule!$Q$6:$Q$125,0)),""),IFERROR(IF(INDEX(Schedule!$P$6:$P$125,MATCH($B21&amp;"|"&amp;M$7,Schedule!$R$6:$R$125,0))=1,INDEX(Schedule!$F$6:$F$125,MATCH($B21&amp;"|"&amp;M$7,Schedule!$R$6:$R$125,0))&amp;"–"&amp;INDEX(Schedule!$E$6:$E$125,MATCH($B21&amp;"|"&amp;M$7,Schedule!$R$6:$R$125,0)),""),""))))</f>
        <v/>
      </c>
      <c r="N21" s="16" t="str">
        <f aca="false">IF(OR($B21="",N$7=""),"",IF($B21=N$7,"—",IFERROR(IF(INDEX(Schedule!$P$6:$P$125,MATCH($B21&amp;"|"&amp;N$7,Schedule!$Q$6:$Q$125,0))=1,INDEX(Schedule!$E$6:$E$125,MATCH($B21&amp;"|"&amp;N$7,Schedule!$Q$6:$Q$125,0))&amp;"–"&amp;INDEX(Schedule!$F$6:$F$125,MATCH($B21&amp;"|"&amp;N$7,Schedule!$Q$6:$Q$125,0)),""),IFERROR(IF(INDEX(Schedule!$P$6:$P$125,MATCH($B21&amp;"|"&amp;N$7,Schedule!$R$6:$R$125,0))=1,INDEX(Schedule!$F$6:$F$125,MATCH($B21&amp;"|"&amp;N$7,Schedule!$R$6:$R$125,0))&amp;"–"&amp;INDEX(Schedule!$E$6:$E$125,MATCH($B21&amp;"|"&amp;N$7,Schedule!$R$6:$R$125,0)),""),""))))</f>
        <v/>
      </c>
      <c r="O21" s="16" t="str">
        <f aca="false">IF(OR($B21="",O$7=""),"",IF($B21=O$7,"—",IFERROR(IF(INDEX(Schedule!$P$6:$P$125,MATCH($B21&amp;"|"&amp;O$7,Schedule!$Q$6:$Q$125,0))=1,INDEX(Schedule!$E$6:$E$125,MATCH($B21&amp;"|"&amp;O$7,Schedule!$Q$6:$Q$125,0))&amp;"–"&amp;INDEX(Schedule!$F$6:$F$125,MATCH($B21&amp;"|"&amp;O$7,Schedule!$Q$6:$Q$125,0)),""),IFERROR(IF(INDEX(Schedule!$P$6:$P$125,MATCH($B21&amp;"|"&amp;O$7,Schedule!$R$6:$R$125,0))=1,INDEX(Schedule!$F$6:$F$125,MATCH($B21&amp;"|"&amp;O$7,Schedule!$R$6:$R$125,0))&amp;"–"&amp;INDEX(Schedule!$E$6:$E$125,MATCH($B21&amp;"|"&amp;O$7,Schedule!$R$6:$R$125,0)),""),""))))</f>
        <v/>
      </c>
      <c r="P21" s="16" t="str">
        <f aca="false">IF(OR($B21="",P$7=""),"",IF($B21=P$7,"—",IFERROR(IF(INDEX(Schedule!$P$6:$P$125,MATCH($B21&amp;"|"&amp;P$7,Schedule!$Q$6:$Q$125,0))=1,INDEX(Schedule!$E$6:$E$125,MATCH($B21&amp;"|"&amp;P$7,Schedule!$Q$6:$Q$125,0))&amp;"–"&amp;INDEX(Schedule!$F$6:$F$125,MATCH($B21&amp;"|"&amp;P$7,Schedule!$Q$6:$Q$125,0)),""),IFERROR(IF(INDEX(Schedule!$P$6:$P$125,MATCH($B21&amp;"|"&amp;P$7,Schedule!$R$6:$R$125,0))=1,INDEX(Schedule!$F$6:$F$125,MATCH($B21&amp;"|"&amp;P$7,Schedule!$R$6:$R$125,0))&amp;"–"&amp;INDEX(Schedule!$E$6:$E$125,MATCH($B21&amp;"|"&amp;P$7,Schedule!$R$6:$R$125,0)),""),""))))</f>
        <v/>
      </c>
      <c r="Q21" s="16" t="str">
        <f aca="false">IF(OR($B21="",Q$7=""),"",IF($B21=Q$7,"—",IFERROR(IF(INDEX(Schedule!$P$6:$P$125,MATCH($B21&amp;"|"&amp;Q$7,Schedule!$Q$6:$Q$125,0))=1,INDEX(Schedule!$E$6:$E$125,MATCH($B21&amp;"|"&amp;Q$7,Schedule!$Q$6:$Q$125,0))&amp;"–"&amp;INDEX(Schedule!$F$6:$F$125,MATCH($B21&amp;"|"&amp;Q$7,Schedule!$Q$6:$Q$125,0)),""),IFERROR(IF(INDEX(Schedule!$P$6:$P$125,MATCH($B21&amp;"|"&amp;Q$7,Schedule!$R$6:$R$125,0))=1,INDEX(Schedule!$F$6:$F$125,MATCH($B21&amp;"|"&amp;Q$7,Schedule!$R$6:$R$125,0))&amp;"–"&amp;INDEX(Schedule!$E$6:$E$125,MATCH($B21&amp;"|"&amp;Q$7,Schedule!$R$6:$R$125,0)),""),""))))</f>
        <v/>
      </c>
      <c r="R21" s="16" t="str">
        <f aca="false">IF(OR($B21="",R$7=""),"",IF($B21=R$7,"—",IFERROR(IF(INDEX(Schedule!$P$6:$P$125,MATCH($B21&amp;"|"&amp;R$7,Schedule!$Q$6:$Q$125,0))=1,INDEX(Schedule!$E$6:$E$125,MATCH($B21&amp;"|"&amp;R$7,Schedule!$Q$6:$Q$125,0))&amp;"–"&amp;INDEX(Schedule!$F$6:$F$125,MATCH($B21&amp;"|"&amp;R$7,Schedule!$Q$6:$Q$125,0)),""),IFERROR(IF(INDEX(Schedule!$P$6:$P$125,MATCH($B21&amp;"|"&amp;R$7,Schedule!$R$6:$R$125,0))=1,INDEX(Schedule!$F$6:$F$125,MATCH($B21&amp;"|"&amp;R$7,Schedule!$R$6:$R$125,0))&amp;"–"&amp;INDEX(Schedule!$E$6:$E$125,MATCH($B21&amp;"|"&amp;R$7,Schedule!$R$6:$R$125,0)),""),""))))</f>
        <v/>
      </c>
    </row>
    <row r="22" customFormat="false" ht="15" hidden="false" customHeight="false" outlineLevel="0" collapsed="false">
      <c r="B22" s="27" t="str">
        <f aca="false">IF(Setup!$C$30="","",Setup!$C$30)</f>
        <v/>
      </c>
      <c r="C22" s="16" t="str">
        <f aca="false">IF(OR($B22="",C$7=""),"",IF($B22=C$7,"—",IFERROR(IF(INDEX(Schedule!$P$6:$P$125,MATCH($B22&amp;"|"&amp;C$7,Schedule!$Q$6:$Q$125,0))=1,INDEX(Schedule!$E$6:$E$125,MATCH($B22&amp;"|"&amp;C$7,Schedule!$Q$6:$Q$125,0))&amp;"–"&amp;INDEX(Schedule!$F$6:$F$125,MATCH($B22&amp;"|"&amp;C$7,Schedule!$Q$6:$Q$125,0)),""),IFERROR(IF(INDEX(Schedule!$P$6:$P$125,MATCH($B22&amp;"|"&amp;C$7,Schedule!$R$6:$R$125,0))=1,INDEX(Schedule!$F$6:$F$125,MATCH($B22&amp;"|"&amp;C$7,Schedule!$R$6:$R$125,0))&amp;"–"&amp;INDEX(Schedule!$E$6:$E$125,MATCH($B22&amp;"|"&amp;C$7,Schedule!$R$6:$R$125,0)),""),""))))</f>
        <v/>
      </c>
      <c r="D22" s="16" t="str">
        <f aca="false">IF(OR($B22="",D$7=""),"",IF($B22=D$7,"—",IFERROR(IF(INDEX(Schedule!$P$6:$P$125,MATCH($B22&amp;"|"&amp;D$7,Schedule!$Q$6:$Q$125,0))=1,INDEX(Schedule!$E$6:$E$125,MATCH($B22&amp;"|"&amp;D$7,Schedule!$Q$6:$Q$125,0))&amp;"–"&amp;INDEX(Schedule!$F$6:$F$125,MATCH($B22&amp;"|"&amp;D$7,Schedule!$Q$6:$Q$125,0)),""),IFERROR(IF(INDEX(Schedule!$P$6:$P$125,MATCH($B22&amp;"|"&amp;D$7,Schedule!$R$6:$R$125,0))=1,INDEX(Schedule!$F$6:$F$125,MATCH($B22&amp;"|"&amp;D$7,Schedule!$R$6:$R$125,0))&amp;"–"&amp;INDEX(Schedule!$E$6:$E$125,MATCH($B22&amp;"|"&amp;D$7,Schedule!$R$6:$R$125,0)),""),""))))</f>
        <v/>
      </c>
      <c r="E22" s="16" t="str">
        <f aca="false">IF(OR($B22="",E$7=""),"",IF($B22=E$7,"—",IFERROR(IF(INDEX(Schedule!$P$6:$P$125,MATCH($B22&amp;"|"&amp;E$7,Schedule!$Q$6:$Q$125,0))=1,INDEX(Schedule!$E$6:$E$125,MATCH($B22&amp;"|"&amp;E$7,Schedule!$Q$6:$Q$125,0))&amp;"–"&amp;INDEX(Schedule!$F$6:$F$125,MATCH($B22&amp;"|"&amp;E$7,Schedule!$Q$6:$Q$125,0)),""),IFERROR(IF(INDEX(Schedule!$P$6:$P$125,MATCH($B22&amp;"|"&amp;E$7,Schedule!$R$6:$R$125,0))=1,INDEX(Schedule!$F$6:$F$125,MATCH($B22&amp;"|"&amp;E$7,Schedule!$R$6:$R$125,0))&amp;"–"&amp;INDEX(Schedule!$E$6:$E$125,MATCH($B22&amp;"|"&amp;E$7,Schedule!$R$6:$R$125,0)),""),""))))</f>
        <v/>
      </c>
      <c r="F22" s="16" t="str">
        <f aca="false">IF(OR($B22="",F$7=""),"",IF($B22=F$7,"—",IFERROR(IF(INDEX(Schedule!$P$6:$P$125,MATCH($B22&amp;"|"&amp;F$7,Schedule!$Q$6:$Q$125,0))=1,INDEX(Schedule!$E$6:$E$125,MATCH($B22&amp;"|"&amp;F$7,Schedule!$Q$6:$Q$125,0))&amp;"–"&amp;INDEX(Schedule!$F$6:$F$125,MATCH($B22&amp;"|"&amp;F$7,Schedule!$Q$6:$Q$125,0)),""),IFERROR(IF(INDEX(Schedule!$P$6:$P$125,MATCH($B22&amp;"|"&amp;F$7,Schedule!$R$6:$R$125,0))=1,INDEX(Schedule!$F$6:$F$125,MATCH($B22&amp;"|"&amp;F$7,Schedule!$R$6:$R$125,0))&amp;"–"&amp;INDEX(Schedule!$E$6:$E$125,MATCH($B22&amp;"|"&amp;F$7,Schedule!$R$6:$R$125,0)),""),""))))</f>
        <v/>
      </c>
      <c r="G22" s="16" t="str">
        <f aca="false">IF(OR($B22="",G$7=""),"",IF($B22=G$7,"—",IFERROR(IF(INDEX(Schedule!$P$6:$P$125,MATCH($B22&amp;"|"&amp;G$7,Schedule!$Q$6:$Q$125,0))=1,INDEX(Schedule!$E$6:$E$125,MATCH($B22&amp;"|"&amp;G$7,Schedule!$Q$6:$Q$125,0))&amp;"–"&amp;INDEX(Schedule!$F$6:$F$125,MATCH($B22&amp;"|"&amp;G$7,Schedule!$Q$6:$Q$125,0)),""),IFERROR(IF(INDEX(Schedule!$P$6:$P$125,MATCH($B22&amp;"|"&amp;G$7,Schedule!$R$6:$R$125,0))=1,INDEX(Schedule!$F$6:$F$125,MATCH($B22&amp;"|"&amp;G$7,Schedule!$R$6:$R$125,0))&amp;"–"&amp;INDEX(Schedule!$E$6:$E$125,MATCH($B22&amp;"|"&amp;G$7,Schedule!$R$6:$R$125,0)),""),""))))</f>
        <v/>
      </c>
      <c r="H22" s="16" t="str">
        <f aca="false">IF(OR($B22="",H$7=""),"",IF($B22=H$7,"—",IFERROR(IF(INDEX(Schedule!$P$6:$P$125,MATCH($B22&amp;"|"&amp;H$7,Schedule!$Q$6:$Q$125,0))=1,INDEX(Schedule!$E$6:$E$125,MATCH($B22&amp;"|"&amp;H$7,Schedule!$Q$6:$Q$125,0))&amp;"–"&amp;INDEX(Schedule!$F$6:$F$125,MATCH($B22&amp;"|"&amp;H$7,Schedule!$Q$6:$Q$125,0)),""),IFERROR(IF(INDEX(Schedule!$P$6:$P$125,MATCH($B22&amp;"|"&amp;H$7,Schedule!$R$6:$R$125,0))=1,INDEX(Schedule!$F$6:$F$125,MATCH($B22&amp;"|"&amp;H$7,Schedule!$R$6:$R$125,0))&amp;"–"&amp;INDEX(Schedule!$E$6:$E$125,MATCH($B22&amp;"|"&amp;H$7,Schedule!$R$6:$R$125,0)),""),""))))</f>
        <v/>
      </c>
      <c r="I22" s="16" t="str">
        <f aca="false">IF(OR($B22="",I$7=""),"",IF($B22=I$7,"—",IFERROR(IF(INDEX(Schedule!$P$6:$P$125,MATCH($B22&amp;"|"&amp;I$7,Schedule!$Q$6:$Q$125,0))=1,INDEX(Schedule!$E$6:$E$125,MATCH($B22&amp;"|"&amp;I$7,Schedule!$Q$6:$Q$125,0))&amp;"–"&amp;INDEX(Schedule!$F$6:$F$125,MATCH($B22&amp;"|"&amp;I$7,Schedule!$Q$6:$Q$125,0)),""),IFERROR(IF(INDEX(Schedule!$P$6:$P$125,MATCH($B22&amp;"|"&amp;I$7,Schedule!$R$6:$R$125,0))=1,INDEX(Schedule!$F$6:$F$125,MATCH($B22&amp;"|"&amp;I$7,Schedule!$R$6:$R$125,0))&amp;"–"&amp;INDEX(Schedule!$E$6:$E$125,MATCH($B22&amp;"|"&amp;I$7,Schedule!$R$6:$R$125,0)),""),""))))</f>
        <v/>
      </c>
      <c r="J22" s="16" t="str">
        <f aca="false">IF(OR($B22="",J$7=""),"",IF($B22=J$7,"—",IFERROR(IF(INDEX(Schedule!$P$6:$P$125,MATCH($B22&amp;"|"&amp;J$7,Schedule!$Q$6:$Q$125,0))=1,INDEX(Schedule!$E$6:$E$125,MATCH($B22&amp;"|"&amp;J$7,Schedule!$Q$6:$Q$125,0))&amp;"–"&amp;INDEX(Schedule!$F$6:$F$125,MATCH($B22&amp;"|"&amp;J$7,Schedule!$Q$6:$Q$125,0)),""),IFERROR(IF(INDEX(Schedule!$P$6:$P$125,MATCH($B22&amp;"|"&amp;J$7,Schedule!$R$6:$R$125,0))=1,INDEX(Schedule!$F$6:$F$125,MATCH($B22&amp;"|"&amp;J$7,Schedule!$R$6:$R$125,0))&amp;"–"&amp;INDEX(Schedule!$E$6:$E$125,MATCH($B22&amp;"|"&amp;J$7,Schedule!$R$6:$R$125,0)),""),""))))</f>
        <v/>
      </c>
      <c r="K22" s="16" t="str">
        <f aca="false">IF(OR($B22="",K$7=""),"",IF($B22=K$7,"—",IFERROR(IF(INDEX(Schedule!$P$6:$P$125,MATCH($B22&amp;"|"&amp;K$7,Schedule!$Q$6:$Q$125,0))=1,INDEX(Schedule!$E$6:$E$125,MATCH($B22&amp;"|"&amp;K$7,Schedule!$Q$6:$Q$125,0))&amp;"–"&amp;INDEX(Schedule!$F$6:$F$125,MATCH($B22&amp;"|"&amp;K$7,Schedule!$Q$6:$Q$125,0)),""),IFERROR(IF(INDEX(Schedule!$P$6:$P$125,MATCH($B22&amp;"|"&amp;K$7,Schedule!$R$6:$R$125,0))=1,INDEX(Schedule!$F$6:$F$125,MATCH($B22&amp;"|"&amp;K$7,Schedule!$R$6:$R$125,0))&amp;"–"&amp;INDEX(Schedule!$E$6:$E$125,MATCH($B22&amp;"|"&amp;K$7,Schedule!$R$6:$R$125,0)),""),""))))</f>
        <v/>
      </c>
      <c r="L22" s="16" t="str">
        <f aca="false">IF(OR($B22="",L$7=""),"",IF($B22=L$7,"—",IFERROR(IF(INDEX(Schedule!$P$6:$P$125,MATCH($B22&amp;"|"&amp;L$7,Schedule!$Q$6:$Q$125,0))=1,INDEX(Schedule!$E$6:$E$125,MATCH($B22&amp;"|"&amp;L$7,Schedule!$Q$6:$Q$125,0))&amp;"–"&amp;INDEX(Schedule!$F$6:$F$125,MATCH($B22&amp;"|"&amp;L$7,Schedule!$Q$6:$Q$125,0)),""),IFERROR(IF(INDEX(Schedule!$P$6:$P$125,MATCH($B22&amp;"|"&amp;L$7,Schedule!$R$6:$R$125,0))=1,INDEX(Schedule!$F$6:$F$125,MATCH($B22&amp;"|"&amp;L$7,Schedule!$R$6:$R$125,0))&amp;"–"&amp;INDEX(Schedule!$E$6:$E$125,MATCH($B22&amp;"|"&amp;L$7,Schedule!$R$6:$R$125,0)),""),""))))</f>
        <v/>
      </c>
      <c r="M22" s="16" t="str">
        <f aca="false">IF(OR($B22="",M$7=""),"",IF($B22=M$7,"—",IFERROR(IF(INDEX(Schedule!$P$6:$P$125,MATCH($B22&amp;"|"&amp;M$7,Schedule!$Q$6:$Q$125,0))=1,INDEX(Schedule!$E$6:$E$125,MATCH($B22&amp;"|"&amp;M$7,Schedule!$Q$6:$Q$125,0))&amp;"–"&amp;INDEX(Schedule!$F$6:$F$125,MATCH($B22&amp;"|"&amp;M$7,Schedule!$Q$6:$Q$125,0)),""),IFERROR(IF(INDEX(Schedule!$P$6:$P$125,MATCH($B22&amp;"|"&amp;M$7,Schedule!$R$6:$R$125,0))=1,INDEX(Schedule!$F$6:$F$125,MATCH($B22&amp;"|"&amp;M$7,Schedule!$R$6:$R$125,0))&amp;"–"&amp;INDEX(Schedule!$E$6:$E$125,MATCH($B22&amp;"|"&amp;M$7,Schedule!$R$6:$R$125,0)),""),""))))</f>
        <v/>
      </c>
      <c r="N22" s="16" t="str">
        <f aca="false">IF(OR($B22="",N$7=""),"",IF($B22=N$7,"—",IFERROR(IF(INDEX(Schedule!$P$6:$P$125,MATCH($B22&amp;"|"&amp;N$7,Schedule!$Q$6:$Q$125,0))=1,INDEX(Schedule!$E$6:$E$125,MATCH($B22&amp;"|"&amp;N$7,Schedule!$Q$6:$Q$125,0))&amp;"–"&amp;INDEX(Schedule!$F$6:$F$125,MATCH($B22&amp;"|"&amp;N$7,Schedule!$Q$6:$Q$125,0)),""),IFERROR(IF(INDEX(Schedule!$P$6:$P$125,MATCH($B22&amp;"|"&amp;N$7,Schedule!$R$6:$R$125,0))=1,INDEX(Schedule!$F$6:$F$125,MATCH($B22&amp;"|"&amp;N$7,Schedule!$R$6:$R$125,0))&amp;"–"&amp;INDEX(Schedule!$E$6:$E$125,MATCH($B22&amp;"|"&amp;N$7,Schedule!$R$6:$R$125,0)),""),""))))</f>
        <v/>
      </c>
      <c r="O22" s="16" t="str">
        <f aca="false">IF(OR($B22="",O$7=""),"",IF($B22=O$7,"—",IFERROR(IF(INDEX(Schedule!$P$6:$P$125,MATCH($B22&amp;"|"&amp;O$7,Schedule!$Q$6:$Q$125,0))=1,INDEX(Schedule!$E$6:$E$125,MATCH($B22&amp;"|"&amp;O$7,Schedule!$Q$6:$Q$125,0))&amp;"–"&amp;INDEX(Schedule!$F$6:$F$125,MATCH($B22&amp;"|"&amp;O$7,Schedule!$Q$6:$Q$125,0)),""),IFERROR(IF(INDEX(Schedule!$P$6:$P$125,MATCH($B22&amp;"|"&amp;O$7,Schedule!$R$6:$R$125,0))=1,INDEX(Schedule!$F$6:$F$125,MATCH($B22&amp;"|"&amp;O$7,Schedule!$R$6:$R$125,0))&amp;"–"&amp;INDEX(Schedule!$E$6:$E$125,MATCH($B22&amp;"|"&amp;O$7,Schedule!$R$6:$R$125,0)),""),""))))</f>
        <v/>
      </c>
      <c r="P22" s="16" t="str">
        <f aca="false">IF(OR($B22="",P$7=""),"",IF($B22=P$7,"—",IFERROR(IF(INDEX(Schedule!$P$6:$P$125,MATCH($B22&amp;"|"&amp;P$7,Schedule!$Q$6:$Q$125,0))=1,INDEX(Schedule!$E$6:$E$125,MATCH($B22&amp;"|"&amp;P$7,Schedule!$Q$6:$Q$125,0))&amp;"–"&amp;INDEX(Schedule!$F$6:$F$125,MATCH($B22&amp;"|"&amp;P$7,Schedule!$Q$6:$Q$125,0)),""),IFERROR(IF(INDEX(Schedule!$P$6:$P$125,MATCH($B22&amp;"|"&amp;P$7,Schedule!$R$6:$R$125,0))=1,INDEX(Schedule!$F$6:$F$125,MATCH($B22&amp;"|"&amp;P$7,Schedule!$R$6:$R$125,0))&amp;"–"&amp;INDEX(Schedule!$E$6:$E$125,MATCH($B22&amp;"|"&amp;P$7,Schedule!$R$6:$R$125,0)),""),""))))</f>
        <v/>
      </c>
      <c r="Q22" s="16" t="str">
        <f aca="false">IF(OR($B22="",Q$7=""),"",IF($B22=Q$7,"—",IFERROR(IF(INDEX(Schedule!$P$6:$P$125,MATCH($B22&amp;"|"&amp;Q$7,Schedule!$Q$6:$Q$125,0))=1,INDEX(Schedule!$E$6:$E$125,MATCH($B22&amp;"|"&amp;Q$7,Schedule!$Q$6:$Q$125,0))&amp;"–"&amp;INDEX(Schedule!$F$6:$F$125,MATCH($B22&amp;"|"&amp;Q$7,Schedule!$Q$6:$Q$125,0)),""),IFERROR(IF(INDEX(Schedule!$P$6:$P$125,MATCH($B22&amp;"|"&amp;Q$7,Schedule!$R$6:$R$125,0))=1,INDEX(Schedule!$F$6:$F$125,MATCH($B22&amp;"|"&amp;Q$7,Schedule!$R$6:$R$125,0))&amp;"–"&amp;INDEX(Schedule!$E$6:$E$125,MATCH($B22&amp;"|"&amp;Q$7,Schedule!$R$6:$R$125,0)),""),""))))</f>
        <v/>
      </c>
      <c r="R22" s="16" t="str">
        <f aca="false">IF(OR($B22="",R$7=""),"",IF($B22=R$7,"—",IFERROR(IF(INDEX(Schedule!$P$6:$P$125,MATCH($B22&amp;"|"&amp;R$7,Schedule!$Q$6:$Q$125,0))=1,INDEX(Schedule!$E$6:$E$125,MATCH($B22&amp;"|"&amp;R$7,Schedule!$Q$6:$Q$125,0))&amp;"–"&amp;INDEX(Schedule!$F$6:$F$125,MATCH($B22&amp;"|"&amp;R$7,Schedule!$Q$6:$Q$125,0)),""),IFERROR(IF(INDEX(Schedule!$P$6:$P$125,MATCH($B22&amp;"|"&amp;R$7,Schedule!$R$6:$R$125,0))=1,INDEX(Schedule!$F$6:$F$125,MATCH($B22&amp;"|"&amp;R$7,Schedule!$R$6:$R$125,0))&amp;"–"&amp;INDEX(Schedule!$E$6:$E$125,MATCH($B22&amp;"|"&amp;R$7,Schedule!$R$6:$R$125,0)),""),""))))</f>
        <v/>
      </c>
    </row>
    <row r="23" customFormat="false" ht="15" hidden="false" customHeight="false" outlineLevel="0" collapsed="false">
      <c r="B23" s="27" t="str">
        <f aca="false">IF(Setup!$C$31="","",Setup!$C$31)</f>
        <v/>
      </c>
      <c r="C23" s="16" t="str">
        <f aca="false">IF(OR($B23="",C$7=""),"",IF($B23=C$7,"—",IFERROR(IF(INDEX(Schedule!$P$6:$P$125,MATCH($B23&amp;"|"&amp;C$7,Schedule!$Q$6:$Q$125,0))=1,INDEX(Schedule!$E$6:$E$125,MATCH($B23&amp;"|"&amp;C$7,Schedule!$Q$6:$Q$125,0))&amp;"–"&amp;INDEX(Schedule!$F$6:$F$125,MATCH($B23&amp;"|"&amp;C$7,Schedule!$Q$6:$Q$125,0)),""),IFERROR(IF(INDEX(Schedule!$P$6:$P$125,MATCH($B23&amp;"|"&amp;C$7,Schedule!$R$6:$R$125,0))=1,INDEX(Schedule!$F$6:$F$125,MATCH($B23&amp;"|"&amp;C$7,Schedule!$R$6:$R$125,0))&amp;"–"&amp;INDEX(Schedule!$E$6:$E$125,MATCH($B23&amp;"|"&amp;C$7,Schedule!$R$6:$R$125,0)),""),""))))</f>
        <v/>
      </c>
      <c r="D23" s="16" t="str">
        <f aca="false">IF(OR($B23="",D$7=""),"",IF($B23=D$7,"—",IFERROR(IF(INDEX(Schedule!$P$6:$P$125,MATCH($B23&amp;"|"&amp;D$7,Schedule!$Q$6:$Q$125,0))=1,INDEX(Schedule!$E$6:$E$125,MATCH($B23&amp;"|"&amp;D$7,Schedule!$Q$6:$Q$125,0))&amp;"–"&amp;INDEX(Schedule!$F$6:$F$125,MATCH($B23&amp;"|"&amp;D$7,Schedule!$Q$6:$Q$125,0)),""),IFERROR(IF(INDEX(Schedule!$P$6:$P$125,MATCH($B23&amp;"|"&amp;D$7,Schedule!$R$6:$R$125,0))=1,INDEX(Schedule!$F$6:$F$125,MATCH($B23&amp;"|"&amp;D$7,Schedule!$R$6:$R$125,0))&amp;"–"&amp;INDEX(Schedule!$E$6:$E$125,MATCH($B23&amp;"|"&amp;D$7,Schedule!$R$6:$R$125,0)),""),""))))</f>
        <v/>
      </c>
      <c r="E23" s="16" t="str">
        <f aca="false">IF(OR($B23="",E$7=""),"",IF($B23=E$7,"—",IFERROR(IF(INDEX(Schedule!$P$6:$P$125,MATCH($B23&amp;"|"&amp;E$7,Schedule!$Q$6:$Q$125,0))=1,INDEX(Schedule!$E$6:$E$125,MATCH($B23&amp;"|"&amp;E$7,Schedule!$Q$6:$Q$125,0))&amp;"–"&amp;INDEX(Schedule!$F$6:$F$125,MATCH($B23&amp;"|"&amp;E$7,Schedule!$Q$6:$Q$125,0)),""),IFERROR(IF(INDEX(Schedule!$P$6:$P$125,MATCH($B23&amp;"|"&amp;E$7,Schedule!$R$6:$R$125,0))=1,INDEX(Schedule!$F$6:$F$125,MATCH($B23&amp;"|"&amp;E$7,Schedule!$R$6:$R$125,0))&amp;"–"&amp;INDEX(Schedule!$E$6:$E$125,MATCH($B23&amp;"|"&amp;E$7,Schedule!$R$6:$R$125,0)),""),""))))</f>
        <v/>
      </c>
      <c r="F23" s="16" t="str">
        <f aca="false">IF(OR($B23="",F$7=""),"",IF($B23=F$7,"—",IFERROR(IF(INDEX(Schedule!$P$6:$P$125,MATCH($B23&amp;"|"&amp;F$7,Schedule!$Q$6:$Q$125,0))=1,INDEX(Schedule!$E$6:$E$125,MATCH($B23&amp;"|"&amp;F$7,Schedule!$Q$6:$Q$125,0))&amp;"–"&amp;INDEX(Schedule!$F$6:$F$125,MATCH($B23&amp;"|"&amp;F$7,Schedule!$Q$6:$Q$125,0)),""),IFERROR(IF(INDEX(Schedule!$P$6:$P$125,MATCH($B23&amp;"|"&amp;F$7,Schedule!$R$6:$R$125,0))=1,INDEX(Schedule!$F$6:$F$125,MATCH($B23&amp;"|"&amp;F$7,Schedule!$R$6:$R$125,0))&amp;"–"&amp;INDEX(Schedule!$E$6:$E$125,MATCH($B23&amp;"|"&amp;F$7,Schedule!$R$6:$R$125,0)),""),""))))</f>
        <v/>
      </c>
      <c r="G23" s="16" t="str">
        <f aca="false">IF(OR($B23="",G$7=""),"",IF($B23=G$7,"—",IFERROR(IF(INDEX(Schedule!$P$6:$P$125,MATCH($B23&amp;"|"&amp;G$7,Schedule!$Q$6:$Q$125,0))=1,INDEX(Schedule!$E$6:$E$125,MATCH($B23&amp;"|"&amp;G$7,Schedule!$Q$6:$Q$125,0))&amp;"–"&amp;INDEX(Schedule!$F$6:$F$125,MATCH($B23&amp;"|"&amp;G$7,Schedule!$Q$6:$Q$125,0)),""),IFERROR(IF(INDEX(Schedule!$P$6:$P$125,MATCH($B23&amp;"|"&amp;G$7,Schedule!$R$6:$R$125,0))=1,INDEX(Schedule!$F$6:$F$125,MATCH($B23&amp;"|"&amp;G$7,Schedule!$R$6:$R$125,0))&amp;"–"&amp;INDEX(Schedule!$E$6:$E$125,MATCH($B23&amp;"|"&amp;G$7,Schedule!$R$6:$R$125,0)),""),""))))</f>
        <v/>
      </c>
      <c r="H23" s="16" t="str">
        <f aca="false">IF(OR($B23="",H$7=""),"",IF($B23=H$7,"—",IFERROR(IF(INDEX(Schedule!$P$6:$P$125,MATCH($B23&amp;"|"&amp;H$7,Schedule!$Q$6:$Q$125,0))=1,INDEX(Schedule!$E$6:$E$125,MATCH($B23&amp;"|"&amp;H$7,Schedule!$Q$6:$Q$125,0))&amp;"–"&amp;INDEX(Schedule!$F$6:$F$125,MATCH($B23&amp;"|"&amp;H$7,Schedule!$Q$6:$Q$125,0)),""),IFERROR(IF(INDEX(Schedule!$P$6:$P$125,MATCH($B23&amp;"|"&amp;H$7,Schedule!$R$6:$R$125,0))=1,INDEX(Schedule!$F$6:$F$125,MATCH($B23&amp;"|"&amp;H$7,Schedule!$R$6:$R$125,0))&amp;"–"&amp;INDEX(Schedule!$E$6:$E$125,MATCH($B23&amp;"|"&amp;H$7,Schedule!$R$6:$R$125,0)),""),""))))</f>
        <v/>
      </c>
      <c r="I23" s="16" t="str">
        <f aca="false">IF(OR($B23="",I$7=""),"",IF($B23=I$7,"—",IFERROR(IF(INDEX(Schedule!$P$6:$P$125,MATCH($B23&amp;"|"&amp;I$7,Schedule!$Q$6:$Q$125,0))=1,INDEX(Schedule!$E$6:$E$125,MATCH($B23&amp;"|"&amp;I$7,Schedule!$Q$6:$Q$125,0))&amp;"–"&amp;INDEX(Schedule!$F$6:$F$125,MATCH($B23&amp;"|"&amp;I$7,Schedule!$Q$6:$Q$125,0)),""),IFERROR(IF(INDEX(Schedule!$P$6:$P$125,MATCH($B23&amp;"|"&amp;I$7,Schedule!$R$6:$R$125,0))=1,INDEX(Schedule!$F$6:$F$125,MATCH($B23&amp;"|"&amp;I$7,Schedule!$R$6:$R$125,0))&amp;"–"&amp;INDEX(Schedule!$E$6:$E$125,MATCH($B23&amp;"|"&amp;I$7,Schedule!$R$6:$R$125,0)),""),""))))</f>
        <v/>
      </c>
      <c r="J23" s="16" t="str">
        <f aca="false">IF(OR($B23="",J$7=""),"",IF($B23=J$7,"—",IFERROR(IF(INDEX(Schedule!$P$6:$P$125,MATCH($B23&amp;"|"&amp;J$7,Schedule!$Q$6:$Q$125,0))=1,INDEX(Schedule!$E$6:$E$125,MATCH($B23&amp;"|"&amp;J$7,Schedule!$Q$6:$Q$125,0))&amp;"–"&amp;INDEX(Schedule!$F$6:$F$125,MATCH($B23&amp;"|"&amp;J$7,Schedule!$Q$6:$Q$125,0)),""),IFERROR(IF(INDEX(Schedule!$P$6:$P$125,MATCH($B23&amp;"|"&amp;J$7,Schedule!$R$6:$R$125,0))=1,INDEX(Schedule!$F$6:$F$125,MATCH($B23&amp;"|"&amp;J$7,Schedule!$R$6:$R$125,0))&amp;"–"&amp;INDEX(Schedule!$E$6:$E$125,MATCH($B23&amp;"|"&amp;J$7,Schedule!$R$6:$R$125,0)),""),""))))</f>
        <v/>
      </c>
      <c r="K23" s="16" t="str">
        <f aca="false">IF(OR($B23="",K$7=""),"",IF($B23=K$7,"—",IFERROR(IF(INDEX(Schedule!$P$6:$P$125,MATCH($B23&amp;"|"&amp;K$7,Schedule!$Q$6:$Q$125,0))=1,INDEX(Schedule!$E$6:$E$125,MATCH($B23&amp;"|"&amp;K$7,Schedule!$Q$6:$Q$125,0))&amp;"–"&amp;INDEX(Schedule!$F$6:$F$125,MATCH($B23&amp;"|"&amp;K$7,Schedule!$Q$6:$Q$125,0)),""),IFERROR(IF(INDEX(Schedule!$P$6:$P$125,MATCH($B23&amp;"|"&amp;K$7,Schedule!$R$6:$R$125,0))=1,INDEX(Schedule!$F$6:$F$125,MATCH($B23&amp;"|"&amp;K$7,Schedule!$R$6:$R$125,0))&amp;"–"&amp;INDEX(Schedule!$E$6:$E$125,MATCH($B23&amp;"|"&amp;K$7,Schedule!$R$6:$R$125,0)),""),""))))</f>
        <v/>
      </c>
      <c r="L23" s="16" t="str">
        <f aca="false">IF(OR($B23="",L$7=""),"",IF($B23=L$7,"—",IFERROR(IF(INDEX(Schedule!$P$6:$P$125,MATCH($B23&amp;"|"&amp;L$7,Schedule!$Q$6:$Q$125,0))=1,INDEX(Schedule!$E$6:$E$125,MATCH($B23&amp;"|"&amp;L$7,Schedule!$Q$6:$Q$125,0))&amp;"–"&amp;INDEX(Schedule!$F$6:$F$125,MATCH($B23&amp;"|"&amp;L$7,Schedule!$Q$6:$Q$125,0)),""),IFERROR(IF(INDEX(Schedule!$P$6:$P$125,MATCH($B23&amp;"|"&amp;L$7,Schedule!$R$6:$R$125,0))=1,INDEX(Schedule!$F$6:$F$125,MATCH($B23&amp;"|"&amp;L$7,Schedule!$R$6:$R$125,0))&amp;"–"&amp;INDEX(Schedule!$E$6:$E$125,MATCH($B23&amp;"|"&amp;L$7,Schedule!$R$6:$R$125,0)),""),""))))</f>
        <v/>
      </c>
      <c r="M23" s="16" t="str">
        <f aca="false">IF(OR($B23="",M$7=""),"",IF($B23=M$7,"—",IFERROR(IF(INDEX(Schedule!$P$6:$P$125,MATCH($B23&amp;"|"&amp;M$7,Schedule!$Q$6:$Q$125,0))=1,INDEX(Schedule!$E$6:$E$125,MATCH($B23&amp;"|"&amp;M$7,Schedule!$Q$6:$Q$125,0))&amp;"–"&amp;INDEX(Schedule!$F$6:$F$125,MATCH($B23&amp;"|"&amp;M$7,Schedule!$Q$6:$Q$125,0)),""),IFERROR(IF(INDEX(Schedule!$P$6:$P$125,MATCH($B23&amp;"|"&amp;M$7,Schedule!$R$6:$R$125,0))=1,INDEX(Schedule!$F$6:$F$125,MATCH($B23&amp;"|"&amp;M$7,Schedule!$R$6:$R$125,0))&amp;"–"&amp;INDEX(Schedule!$E$6:$E$125,MATCH($B23&amp;"|"&amp;M$7,Schedule!$R$6:$R$125,0)),""),""))))</f>
        <v/>
      </c>
      <c r="N23" s="16" t="str">
        <f aca="false">IF(OR($B23="",N$7=""),"",IF($B23=N$7,"—",IFERROR(IF(INDEX(Schedule!$P$6:$P$125,MATCH($B23&amp;"|"&amp;N$7,Schedule!$Q$6:$Q$125,0))=1,INDEX(Schedule!$E$6:$E$125,MATCH($B23&amp;"|"&amp;N$7,Schedule!$Q$6:$Q$125,0))&amp;"–"&amp;INDEX(Schedule!$F$6:$F$125,MATCH($B23&amp;"|"&amp;N$7,Schedule!$Q$6:$Q$125,0)),""),IFERROR(IF(INDEX(Schedule!$P$6:$P$125,MATCH($B23&amp;"|"&amp;N$7,Schedule!$R$6:$R$125,0))=1,INDEX(Schedule!$F$6:$F$125,MATCH($B23&amp;"|"&amp;N$7,Schedule!$R$6:$R$125,0))&amp;"–"&amp;INDEX(Schedule!$E$6:$E$125,MATCH($B23&amp;"|"&amp;N$7,Schedule!$R$6:$R$125,0)),""),""))))</f>
        <v/>
      </c>
      <c r="O23" s="16" t="str">
        <f aca="false">IF(OR($B23="",O$7=""),"",IF($B23=O$7,"—",IFERROR(IF(INDEX(Schedule!$P$6:$P$125,MATCH($B23&amp;"|"&amp;O$7,Schedule!$Q$6:$Q$125,0))=1,INDEX(Schedule!$E$6:$E$125,MATCH($B23&amp;"|"&amp;O$7,Schedule!$Q$6:$Q$125,0))&amp;"–"&amp;INDEX(Schedule!$F$6:$F$125,MATCH($B23&amp;"|"&amp;O$7,Schedule!$Q$6:$Q$125,0)),""),IFERROR(IF(INDEX(Schedule!$P$6:$P$125,MATCH($B23&amp;"|"&amp;O$7,Schedule!$R$6:$R$125,0))=1,INDEX(Schedule!$F$6:$F$125,MATCH($B23&amp;"|"&amp;O$7,Schedule!$R$6:$R$125,0))&amp;"–"&amp;INDEX(Schedule!$E$6:$E$125,MATCH($B23&amp;"|"&amp;O$7,Schedule!$R$6:$R$125,0)),""),""))))</f>
        <v/>
      </c>
      <c r="P23" s="16" t="str">
        <f aca="false">IF(OR($B23="",P$7=""),"",IF($B23=P$7,"—",IFERROR(IF(INDEX(Schedule!$P$6:$P$125,MATCH($B23&amp;"|"&amp;P$7,Schedule!$Q$6:$Q$125,0))=1,INDEX(Schedule!$E$6:$E$125,MATCH($B23&amp;"|"&amp;P$7,Schedule!$Q$6:$Q$125,0))&amp;"–"&amp;INDEX(Schedule!$F$6:$F$125,MATCH($B23&amp;"|"&amp;P$7,Schedule!$Q$6:$Q$125,0)),""),IFERROR(IF(INDEX(Schedule!$P$6:$P$125,MATCH($B23&amp;"|"&amp;P$7,Schedule!$R$6:$R$125,0))=1,INDEX(Schedule!$F$6:$F$125,MATCH($B23&amp;"|"&amp;P$7,Schedule!$R$6:$R$125,0))&amp;"–"&amp;INDEX(Schedule!$E$6:$E$125,MATCH($B23&amp;"|"&amp;P$7,Schedule!$R$6:$R$125,0)),""),""))))</f>
        <v/>
      </c>
      <c r="Q23" s="16" t="str">
        <f aca="false">IF(OR($B23="",Q$7=""),"",IF($B23=Q$7,"—",IFERROR(IF(INDEX(Schedule!$P$6:$P$125,MATCH($B23&amp;"|"&amp;Q$7,Schedule!$Q$6:$Q$125,0))=1,INDEX(Schedule!$E$6:$E$125,MATCH($B23&amp;"|"&amp;Q$7,Schedule!$Q$6:$Q$125,0))&amp;"–"&amp;INDEX(Schedule!$F$6:$F$125,MATCH($B23&amp;"|"&amp;Q$7,Schedule!$Q$6:$Q$125,0)),""),IFERROR(IF(INDEX(Schedule!$P$6:$P$125,MATCH($B23&amp;"|"&amp;Q$7,Schedule!$R$6:$R$125,0))=1,INDEX(Schedule!$F$6:$F$125,MATCH($B23&amp;"|"&amp;Q$7,Schedule!$R$6:$R$125,0))&amp;"–"&amp;INDEX(Schedule!$E$6:$E$125,MATCH($B23&amp;"|"&amp;Q$7,Schedule!$R$6:$R$125,0)),""),""))))</f>
        <v/>
      </c>
      <c r="R23" s="16" t="str">
        <f aca="false">IF(OR($B23="",R$7=""),"",IF($B23=R$7,"—",IFERROR(IF(INDEX(Schedule!$P$6:$P$125,MATCH($B23&amp;"|"&amp;R$7,Schedule!$Q$6:$Q$125,0))=1,INDEX(Schedule!$E$6:$E$125,MATCH($B23&amp;"|"&amp;R$7,Schedule!$Q$6:$Q$125,0))&amp;"–"&amp;INDEX(Schedule!$F$6:$F$125,MATCH($B23&amp;"|"&amp;R$7,Schedule!$Q$6:$Q$125,0)),""),IFERROR(IF(INDEX(Schedule!$P$6:$P$125,MATCH($B23&amp;"|"&amp;R$7,Schedule!$R$6:$R$125,0))=1,INDEX(Schedule!$F$6:$F$125,MATCH($B23&amp;"|"&amp;R$7,Schedule!$R$6:$R$125,0))&amp;"–"&amp;INDEX(Schedule!$E$6:$E$125,MATCH($B23&amp;"|"&amp;R$7,Schedule!$R$6:$R$125,0)),""),""))))</f>
        <v/>
      </c>
    </row>
  </sheetData>
  <conditionalFormatting sqref="C8:R23">
    <cfRule type="expression" priority="2" aboveAverage="0" equalAverage="0" bottom="0" percent="0" rank="0" text="" dxfId="4">
      <formula>AND(C8&lt;&gt;"",C8&lt;&gt;"—",VALUE(LEFT(C8,FIND("–",C8)-1))&gt;VALUE(MID(C8,FIND("–",C8)+1,3)))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2D"/>
    <pageSetUpPr fitToPage="true"/>
  </sheetPr>
  <dimension ref="B2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4"/>
    <col collapsed="false" customWidth="true" hidden="false" outlineLevel="0" max="5" min="5" style="0" width="8"/>
    <col collapsed="false" customWidth="true" hidden="false" outlineLevel="0" max="6" min="6" style="0" width="26"/>
    <col collapsed="false" customWidth="true" hidden="false" outlineLevel="0" max="8" min="7" style="0" width="12"/>
    <col collapsed="false" customWidth="true" hidden="false" outlineLevel="0" max="9" min="9" style="0" width="10"/>
  </cols>
  <sheetData>
    <row r="2" customFormat="false" ht="33.75" hidden="false" customHeight="true" outlineLevel="0" collapsed="false">
      <c r="B2" s="1" t="s">
        <v>75</v>
      </c>
    </row>
    <row r="3" customFormat="false" ht="15" hidden="false" customHeight="false" outlineLevel="0" collapsed="false">
      <c r="B3" s="2" t="s">
        <v>76</v>
      </c>
    </row>
    <row r="4" customFormat="false" ht="15" hidden="false" customHeight="false" outlineLevel="0" collapsed="false">
      <c r="B4" s="3"/>
      <c r="C4" s="3"/>
      <c r="D4" s="3"/>
      <c r="E4" s="3"/>
      <c r="F4" s="3"/>
      <c r="G4" s="3"/>
      <c r="H4" s="3"/>
      <c r="I4" s="3"/>
      <c r="J4" s="3"/>
    </row>
    <row r="6" customFormat="false" ht="30" hidden="false" customHeight="true" outlineLevel="0" collapsed="false">
      <c r="B6" s="14" t="s">
        <v>77</v>
      </c>
      <c r="C6" s="14" t="s">
        <v>78</v>
      </c>
      <c r="E6" s="14" t="s">
        <v>79</v>
      </c>
      <c r="F6" s="14" t="s">
        <v>80</v>
      </c>
      <c r="G6" s="14" t="s">
        <v>81</v>
      </c>
      <c r="H6" s="14" t="s">
        <v>82</v>
      </c>
      <c r="I6" s="14" t="s">
        <v>83</v>
      </c>
    </row>
    <row r="7" customFormat="false" ht="15" hidden="false" customHeight="false" outlineLevel="0" collapsed="false">
      <c r="B7" s="15" t="n">
        <v>1</v>
      </c>
      <c r="C7" s="10" t="s">
        <v>84</v>
      </c>
      <c r="E7" s="16" t="n">
        <f aca="false">IF(F7="","",1)</f>
        <v>1</v>
      </c>
      <c r="F7" s="17" t="str">
        <f aca="false">IFERROR(INDEX(Engine!$B$7:$B$26,MATCH(1,Engine!$CY$7:$CY$26,0)),"")</f>
        <v>Marcus</v>
      </c>
      <c r="G7" s="22" t="n">
        <f aca="false">IF(F7="","",COUNTIFS(Challenges!$D$7:$D$106,F7,Challenges!$F$7:$F$106,"Challenger")+COUNTIFS(Challenges!$E$7:$E$106,F7,Challenges!$F$7:$F$106,"Defender"))</f>
        <v>1</v>
      </c>
      <c r="H7" s="22" t="n">
        <f aca="false">IF(F7="","",COUNTIFS(Challenges!$D$7:$D$106,F7,Challenges!$F$7:$F$106,"Defender")+COUNTIFS(Challenges!$E$7:$E$106,F7,Challenges!$F$7:$F$106,"Challenger"))</f>
        <v>0</v>
      </c>
      <c r="I7" s="28" t="n">
        <f aca="false">IF(F7="","",MATCH(F7,$C$7:$C$26,0)-E7)</f>
        <v>1</v>
      </c>
    </row>
    <row r="8" customFormat="false" ht="15" hidden="false" customHeight="false" outlineLevel="0" collapsed="false">
      <c r="B8" s="15" t="n">
        <v>2</v>
      </c>
      <c r="C8" s="10" t="s">
        <v>85</v>
      </c>
      <c r="E8" s="16" t="n">
        <f aca="false">IF(F8="","",2)</f>
        <v>2</v>
      </c>
      <c r="F8" s="17" t="str">
        <f aca="false">IFERROR(INDEX(Engine!$B$7:$B$26,MATCH(2,Engine!$CY$7:$CY$26,0)),"")</f>
        <v>Olivia</v>
      </c>
      <c r="G8" s="22" t="n">
        <f aca="false">IF(F8="","",COUNTIFS(Challenges!$D$7:$D$106,F8,Challenges!$F$7:$F$106,"Challenger")+COUNTIFS(Challenges!$E$7:$E$106,F8,Challenges!$F$7:$F$106,"Defender"))</f>
        <v>0</v>
      </c>
      <c r="H8" s="22" t="n">
        <f aca="false">IF(F8="","",COUNTIFS(Challenges!$D$7:$D$106,F8,Challenges!$F$7:$F$106,"Defender")+COUNTIFS(Challenges!$E$7:$E$106,F8,Challenges!$F$7:$F$106,"Challenger"))</f>
        <v>1</v>
      </c>
      <c r="I8" s="28" t="n">
        <f aca="false">IF(F8="","",MATCH(F8,$C$7:$C$26,0)-E8)</f>
        <v>-1</v>
      </c>
    </row>
    <row r="9" customFormat="false" ht="15" hidden="false" customHeight="false" outlineLevel="0" collapsed="false">
      <c r="B9" s="15" t="n">
        <v>3</v>
      </c>
      <c r="C9" s="10" t="s">
        <v>86</v>
      </c>
      <c r="E9" s="16" t="n">
        <f aca="false">IF(F9="","",3)</f>
        <v>3</v>
      </c>
      <c r="F9" s="17" t="str">
        <f aca="false">IFERROR(INDEX(Engine!$B$7:$B$26,MATCH(3,Engine!$CY$7:$CY$26,0)),"")</f>
        <v>Sofia</v>
      </c>
      <c r="G9" s="22" t="n">
        <f aca="false">IF(F9="","",COUNTIFS(Challenges!$D$7:$D$106,F9,Challenges!$F$7:$F$106,"Challenger")+COUNTIFS(Challenges!$E$7:$E$106,F9,Challenges!$F$7:$F$106,"Defender"))</f>
        <v>1</v>
      </c>
      <c r="H9" s="22" t="n">
        <f aca="false">IF(F9="","",COUNTIFS(Challenges!$D$7:$D$106,F9,Challenges!$F$7:$F$106,"Defender")+COUNTIFS(Challenges!$E$7:$E$106,F9,Challenges!$F$7:$F$106,"Challenger"))</f>
        <v>0</v>
      </c>
      <c r="I9" s="28" t="n">
        <f aca="false">IF(F9="","",MATCH(F9,$C$7:$C$26,0)-E9)</f>
        <v>2</v>
      </c>
    </row>
    <row r="10" customFormat="false" ht="15" hidden="false" customHeight="false" outlineLevel="0" collapsed="false">
      <c r="B10" s="15" t="n">
        <v>4</v>
      </c>
      <c r="C10" s="10" t="s">
        <v>87</v>
      </c>
      <c r="E10" s="16" t="n">
        <f aca="false">IF(F10="","",4)</f>
        <v>4</v>
      </c>
      <c r="F10" s="17" t="str">
        <f aca="false">IFERROR(INDEX(Engine!$B$7:$B$26,MATCH(4,Engine!$CY$7:$CY$26,0)),"")</f>
        <v>Priya</v>
      </c>
      <c r="G10" s="22" t="n">
        <f aca="false">IF(F10="","",COUNTIFS(Challenges!$D$7:$D$106,F10,Challenges!$F$7:$F$106,"Challenger")+COUNTIFS(Challenges!$E$7:$E$106,F10,Challenges!$F$7:$F$106,"Defender"))</f>
        <v>0</v>
      </c>
      <c r="H10" s="22" t="n">
        <f aca="false">IF(F10="","",COUNTIFS(Challenges!$D$7:$D$106,F10,Challenges!$F$7:$F$106,"Defender")+COUNTIFS(Challenges!$E$7:$E$106,F10,Challenges!$F$7:$F$106,"Challenger"))</f>
        <v>1</v>
      </c>
      <c r="I10" s="28" t="n">
        <f aca="false">IF(F10="","",MATCH(F10,$C$7:$C$26,0)-E10)</f>
        <v>-1</v>
      </c>
    </row>
    <row r="11" customFormat="false" ht="15" hidden="false" customHeight="false" outlineLevel="0" collapsed="false">
      <c r="B11" s="15" t="n">
        <v>5</v>
      </c>
      <c r="C11" s="10" t="s">
        <v>88</v>
      </c>
      <c r="E11" s="16" t="n">
        <f aca="false">IF(F11="","",5)</f>
        <v>5</v>
      </c>
      <c r="F11" s="17" t="str">
        <f aca="false">IFERROR(INDEX(Engine!$B$7:$B$26,MATCH(5,Engine!$CY$7:$CY$26,0)),"")</f>
        <v>Tom</v>
      </c>
      <c r="G11" s="22" t="n">
        <f aca="false">IF(F11="","",COUNTIFS(Challenges!$D$7:$D$106,F11,Challenges!$F$7:$F$106,"Challenger")+COUNTIFS(Challenges!$E$7:$E$106,F11,Challenges!$F$7:$F$106,"Defender"))</f>
        <v>0</v>
      </c>
      <c r="H11" s="22" t="n">
        <f aca="false">IF(F11="","",COUNTIFS(Challenges!$D$7:$D$106,F11,Challenges!$F$7:$F$106,"Defender")+COUNTIFS(Challenges!$E$7:$E$106,F11,Challenges!$F$7:$F$106,"Challenger"))</f>
        <v>0</v>
      </c>
      <c r="I11" s="28" t="n">
        <f aca="false">IF(F11="","",MATCH(F11,$C$7:$C$26,0)-E11)</f>
        <v>-1</v>
      </c>
    </row>
    <row r="12" customFormat="false" ht="15" hidden="false" customHeight="false" outlineLevel="0" collapsed="false">
      <c r="B12" s="15" t="n">
        <v>6</v>
      </c>
      <c r="C12" s="10" t="s">
        <v>89</v>
      </c>
      <c r="E12" s="16" t="n">
        <f aca="false">IF(F12="","",6)</f>
        <v>6</v>
      </c>
      <c r="F12" s="17" t="str">
        <f aca="false">IFERROR(INDEX(Engine!$B$7:$B$26,MATCH(6,Engine!$CY$7:$CY$26,0)),"")</f>
        <v>Oscar</v>
      </c>
      <c r="G12" s="22" t="n">
        <f aca="false">IF(F12="","",COUNTIFS(Challenges!$D$7:$D$106,F12,Challenges!$F$7:$F$106,"Challenger")+COUNTIFS(Challenges!$E$7:$E$106,F12,Challenges!$F$7:$F$106,"Defender"))</f>
        <v>1</v>
      </c>
      <c r="H12" s="22" t="n">
        <f aca="false">IF(F12="","",COUNTIFS(Challenges!$D$7:$D$106,F12,Challenges!$F$7:$F$106,"Defender")+COUNTIFS(Challenges!$E$7:$E$106,F12,Challenges!$F$7:$F$106,"Challenger"))</f>
        <v>0</v>
      </c>
      <c r="I12" s="28" t="n">
        <f aca="false">IF(F12="","",MATCH(F12,$C$7:$C$26,0)-E12)</f>
        <v>4</v>
      </c>
    </row>
    <row r="13" customFormat="false" ht="15" hidden="false" customHeight="false" outlineLevel="0" collapsed="false">
      <c r="B13" s="15" t="n">
        <v>7</v>
      </c>
      <c r="C13" s="10" t="s">
        <v>90</v>
      </c>
      <c r="E13" s="16" t="n">
        <f aca="false">IF(F13="","",7)</f>
        <v>7</v>
      </c>
      <c r="F13" s="17" t="str">
        <f aca="false">IFERROR(INDEX(Engine!$B$7:$B$26,MATCH(7,Engine!$CY$7:$CY$26,0)),"")</f>
        <v>Jonas</v>
      </c>
      <c r="G13" s="22" t="n">
        <f aca="false">IF(F13="","",COUNTIFS(Challenges!$D$7:$D$106,F13,Challenges!$F$7:$F$106,"Challenger")+COUNTIFS(Challenges!$E$7:$E$106,F13,Challenges!$F$7:$F$106,"Defender"))</f>
        <v>0</v>
      </c>
      <c r="H13" s="22" t="n">
        <f aca="false">IF(F13="","",COUNTIFS(Challenges!$D$7:$D$106,F13,Challenges!$F$7:$F$106,"Defender")+COUNTIFS(Challenges!$E$7:$E$106,F13,Challenges!$F$7:$F$106,"Challenger"))</f>
        <v>1</v>
      </c>
      <c r="I13" s="28" t="n">
        <f aca="false">IF(F13="","",MATCH(F13,$C$7:$C$26,0)-E13)</f>
        <v>-1</v>
      </c>
    </row>
    <row r="14" customFormat="false" ht="15" hidden="false" customHeight="false" outlineLevel="0" collapsed="false">
      <c r="B14" s="15" t="n">
        <v>8</v>
      </c>
      <c r="C14" s="10" t="s">
        <v>91</v>
      </c>
      <c r="E14" s="16" t="n">
        <f aca="false">IF(F14="","",8)</f>
        <v>8</v>
      </c>
      <c r="F14" s="17" t="str">
        <f aca="false">IFERROR(INDEX(Engine!$B$7:$B$26,MATCH(8,Engine!$CY$7:$CY$26,0)),"")</f>
        <v>Leah</v>
      </c>
      <c r="G14" s="22" t="n">
        <f aca="false">IF(F14="","",COUNTIFS(Challenges!$D$7:$D$106,F14,Challenges!$F$7:$F$106,"Challenger")+COUNTIFS(Challenges!$E$7:$E$106,F14,Challenges!$F$7:$F$106,"Defender"))</f>
        <v>1</v>
      </c>
      <c r="H14" s="22" t="n">
        <f aca="false">IF(F14="","",COUNTIFS(Challenges!$D$7:$D$106,F14,Challenges!$F$7:$F$106,"Defender")+COUNTIFS(Challenges!$E$7:$E$106,F14,Challenges!$F$7:$F$106,"Challenger"))</f>
        <v>0</v>
      </c>
      <c r="I14" s="28" t="n">
        <f aca="false">IF(F14="","",MATCH(F14,$C$7:$C$26,0)-E14)</f>
        <v>-1</v>
      </c>
    </row>
    <row r="15" customFormat="false" ht="15" hidden="false" customHeight="false" outlineLevel="0" collapsed="false">
      <c r="B15" s="15" t="n">
        <v>9</v>
      </c>
      <c r="C15" s="10" t="s">
        <v>92</v>
      </c>
      <c r="E15" s="16" t="n">
        <f aca="false">IF(F15="","",9)</f>
        <v>9</v>
      </c>
      <c r="F15" s="17" t="str">
        <f aca="false">IFERROR(INDEX(Engine!$B$7:$B$26,MATCH(9,Engine!$CY$7:$CY$26,0)),"")</f>
        <v>Mateo</v>
      </c>
      <c r="G15" s="22" t="n">
        <f aca="false">IF(F15="","",COUNTIFS(Challenges!$D$7:$D$106,F15,Challenges!$F$7:$F$106,"Challenger")+COUNTIFS(Challenges!$E$7:$E$106,F15,Challenges!$F$7:$F$106,"Defender"))</f>
        <v>0</v>
      </c>
      <c r="H15" s="22" t="n">
        <f aca="false">IF(F15="","",COUNTIFS(Challenges!$D$7:$D$106,F15,Challenges!$F$7:$F$106,"Defender")+COUNTIFS(Challenges!$E$7:$E$106,F15,Challenges!$F$7:$F$106,"Challenger"))</f>
        <v>1</v>
      </c>
      <c r="I15" s="28" t="n">
        <f aca="false">IF(F15="","",MATCH(F15,$C$7:$C$26,0)-E15)</f>
        <v>-1</v>
      </c>
    </row>
    <row r="16" customFormat="false" ht="15" hidden="false" customHeight="false" outlineLevel="0" collapsed="false">
      <c r="B16" s="15" t="n">
        <v>10</v>
      </c>
      <c r="C16" s="10" t="s">
        <v>93</v>
      </c>
      <c r="E16" s="16" t="n">
        <f aca="false">IF(F16="","",10)</f>
        <v>10</v>
      </c>
      <c r="F16" s="17" t="str">
        <f aca="false">IFERROR(INDEX(Engine!$B$7:$B$26,MATCH(10,Engine!$CY$7:$CY$26,0)),"")</f>
        <v>Nina</v>
      </c>
      <c r="G16" s="22" t="n">
        <f aca="false">IF(F16="","",COUNTIFS(Challenges!$D$7:$D$106,F16,Challenges!$F$7:$F$106,"Challenger")+COUNTIFS(Challenges!$E$7:$E$106,F16,Challenges!$F$7:$F$106,"Defender"))</f>
        <v>0</v>
      </c>
      <c r="H16" s="22" t="n">
        <f aca="false">IF(F16="","",COUNTIFS(Challenges!$D$7:$D$106,F16,Challenges!$F$7:$F$106,"Defender")+COUNTIFS(Challenges!$E$7:$E$106,F16,Challenges!$F$7:$F$106,"Challenger"))</f>
        <v>0</v>
      </c>
      <c r="I16" s="28" t="n">
        <f aca="false">IF(F16="","",MATCH(F16,$C$7:$C$26,0)-E16)</f>
        <v>-1</v>
      </c>
    </row>
    <row r="17" customFormat="false" ht="15" hidden="false" customHeight="false" outlineLevel="0" collapsed="false">
      <c r="B17" s="15" t="n">
        <v>11</v>
      </c>
      <c r="C17" s="10"/>
      <c r="E17" s="16" t="str">
        <f aca="false">IF(F17="","",11)</f>
        <v/>
      </c>
      <c r="F17" s="17" t="str">
        <f aca="false">IFERROR(INDEX(Engine!$B$7:$B$26,MATCH(11,Engine!$CY$7:$CY$26,0)),"")</f>
        <v/>
      </c>
      <c r="G17" s="22" t="str">
        <f aca="false">IF(F17="","",COUNTIFS(Challenges!$D$7:$D$106,F17,Challenges!$F$7:$F$106,"Challenger")+COUNTIFS(Challenges!$E$7:$E$106,F17,Challenges!$F$7:$F$106,"Defender"))</f>
        <v/>
      </c>
      <c r="H17" s="22" t="str">
        <f aca="false">IF(F17="","",COUNTIFS(Challenges!$D$7:$D$106,F17,Challenges!$F$7:$F$106,"Defender")+COUNTIFS(Challenges!$E$7:$E$106,F17,Challenges!$F$7:$F$106,"Challenger"))</f>
        <v/>
      </c>
      <c r="I17" s="28" t="str">
        <f aca="false">IF(F17="","",MATCH(F17,$C$7:$C$26,0)-E17)</f>
        <v/>
      </c>
    </row>
    <row r="18" customFormat="false" ht="15" hidden="false" customHeight="false" outlineLevel="0" collapsed="false">
      <c r="B18" s="15" t="n">
        <v>12</v>
      </c>
      <c r="C18" s="10"/>
      <c r="E18" s="16" t="str">
        <f aca="false">IF(F18="","",12)</f>
        <v/>
      </c>
      <c r="F18" s="17" t="str">
        <f aca="false">IFERROR(INDEX(Engine!$B$7:$B$26,MATCH(12,Engine!$CY$7:$CY$26,0)),"")</f>
        <v/>
      </c>
      <c r="G18" s="22" t="str">
        <f aca="false">IF(F18="","",COUNTIFS(Challenges!$D$7:$D$106,F18,Challenges!$F$7:$F$106,"Challenger")+COUNTIFS(Challenges!$E$7:$E$106,F18,Challenges!$F$7:$F$106,"Defender"))</f>
        <v/>
      </c>
      <c r="H18" s="22" t="str">
        <f aca="false">IF(F18="","",COUNTIFS(Challenges!$D$7:$D$106,F18,Challenges!$F$7:$F$106,"Defender")+COUNTIFS(Challenges!$E$7:$E$106,F18,Challenges!$F$7:$F$106,"Challenger"))</f>
        <v/>
      </c>
      <c r="I18" s="28" t="str">
        <f aca="false">IF(F18="","",MATCH(F18,$C$7:$C$26,0)-E18)</f>
        <v/>
      </c>
    </row>
    <row r="19" customFormat="false" ht="15" hidden="false" customHeight="false" outlineLevel="0" collapsed="false">
      <c r="B19" s="15" t="n">
        <v>13</v>
      </c>
      <c r="C19" s="10"/>
      <c r="E19" s="16" t="str">
        <f aca="false">IF(F19="","",13)</f>
        <v/>
      </c>
      <c r="F19" s="17" t="str">
        <f aca="false">IFERROR(INDEX(Engine!$B$7:$B$26,MATCH(13,Engine!$CY$7:$CY$26,0)),"")</f>
        <v/>
      </c>
      <c r="G19" s="22" t="str">
        <f aca="false">IF(F19="","",COUNTIFS(Challenges!$D$7:$D$106,F19,Challenges!$F$7:$F$106,"Challenger")+COUNTIFS(Challenges!$E$7:$E$106,F19,Challenges!$F$7:$F$106,"Defender"))</f>
        <v/>
      </c>
      <c r="H19" s="22" t="str">
        <f aca="false">IF(F19="","",COUNTIFS(Challenges!$D$7:$D$106,F19,Challenges!$F$7:$F$106,"Defender")+COUNTIFS(Challenges!$E$7:$E$106,F19,Challenges!$F$7:$F$106,"Challenger"))</f>
        <v/>
      </c>
      <c r="I19" s="28" t="str">
        <f aca="false">IF(F19="","",MATCH(F19,$C$7:$C$26,0)-E19)</f>
        <v/>
      </c>
    </row>
    <row r="20" customFormat="false" ht="15" hidden="false" customHeight="false" outlineLevel="0" collapsed="false">
      <c r="B20" s="15" t="n">
        <v>14</v>
      </c>
      <c r="C20" s="10"/>
      <c r="E20" s="16" t="str">
        <f aca="false">IF(F20="","",14)</f>
        <v/>
      </c>
      <c r="F20" s="17" t="str">
        <f aca="false">IFERROR(INDEX(Engine!$B$7:$B$26,MATCH(14,Engine!$CY$7:$CY$26,0)),"")</f>
        <v/>
      </c>
      <c r="G20" s="22" t="str">
        <f aca="false">IF(F20="","",COUNTIFS(Challenges!$D$7:$D$106,F20,Challenges!$F$7:$F$106,"Challenger")+COUNTIFS(Challenges!$E$7:$E$106,F20,Challenges!$F$7:$F$106,"Defender"))</f>
        <v/>
      </c>
      <c r="H20" s="22" t="str">
        <f aca="false">IF(F20="","",COUNTIFS(Challenges!$D$7:$D$106,F20,Challenges!$F$7:$F$106,"Defender")+COUNTIFS(Challenges!$E$7:$E$106,F20,Challenges!$F$7:$F$106,"Challenger"))</f>
        <v/>
      </c>
      <c r="I20" s="28" t="str">
        <f aca="false">IF(F20="","",MATCH(F20,$C$7:$C$26,0)-E20)</f>
        <v/>
      </c>
    </row>
    <row r="21" customFormat="false" ht="15" hidden="false" customHeight="false" outlineLevel="0" collapsed="false">
      <c r="B21" s="15" t="n">
        <v>15</v>
      </c>
      <c r="C21" s="10"/>
      <c r="E21" s="16" t="str">
        <f aca="false">IF(F21="","",15)</f>
        <v/>
      </c>
      <c r="F21" s="17" t="str">
        <f aca="false">IFERROR(INDEX(Engine!$B$7:$B$26,MATCH(15,Engine!$CY$7:$CY$26,0)),"")</f>
        <v/>
      </c>
      <c r="G21" s="22" t="str">
        <f aca="false">IF(F21="","",COUNTIFS(Challenges!$D$7:$D$106,F21,Challenges!$F$7:$F$106,"Challenger")+COUNTIFS(Challenges!$E$7:$E$106,F21,Challenges!$F$7:$F$106,"Defender"))</f>
        <v/>
      </c>
      <c r="H21" s="22" t="str">
        <f aca="false">IF(F21="","",COUNTIFS(Challenges!$D$7:$D$106,F21,Challenges!$F$7:$F$106,"Defender")+COUNTIFS(Challenges!$E$7:$E$106,F21,Challenges!$F$7:$F$106,"Challenger"))</f>
        <v/>
      </c>
      <c r="I21" s="28" t="str">
        <f aca="false">IF(F21="","",MATCH(F21,$C$7:$C$26,0)-E21)</f>
        <v/>
      </c>
    </row>
    <row r="22" customFormat="false" ht="15" hidden="false" customHeight="false" outlineLevel="0" collapsed="false">
      <c r="B22" s="15" t="n">
        <v>16</v>
      </c>
      <c r="C22" s="10"/>
      <c r="E22" s="16" t="str">
        <f aca="false">IF(F22="","",16)</f>
        <v/>
      </c>
      <c r="F22" s="17" t="str">
        <f aca="false">IFERROR(INDEX(Engine!$B$7:$B$26,MATCH(16,Engine!$CY$7:$CY$26,0)),"")</f>
        <v/>
      </c>
      <c r="G22" s="22" t="str">
        <f aca="false">IF(F22="","",COUNTIFS(Challenges!$D$7:$D$106,F22,Challenges!$F$7:$F$106,"Challenger")+COUNTIFS(Challenges!$E$7:$E$106,F22,Challenges!$F$7:$F$106,"Defender"))</f>
        <v/>
      </c>
      <c r="H22" s="22" t="str">
        <f aca="false">IF(F22="","",COUNTIFS(Challenges!$D$7:$D$106,F22,Challenges!$F$7:$F$106,"Defender")+COUNTIFS(Challenges!$E$7:$E$106,F22,Challenges!$F$7:$F$106,"Challenger"))</f>
        <v/>
      </c>
      <c r="I22" s="28" t="str">
        <f aca="false">IF(F22="","",MATCH(F22,$C$7:$C$26,0)-E22)</f>
        <v/>
      </c>
    </row>
    <row r="23" customFormat="false" ht="15" hidden="false" customHeight="false" outlineLevel="0" collapsed="false">
      <c r="B23" s="15" t="n">
        <v>17</v>
      </c>
      <c r="C23" s="10"/>
      <c r="E23" s="16" t="str">
        <f aca="false">IF(F23="","",17)</f>
        <v/>
      </c>
      <c r="F23" s="17" t="str">
        <f aca="false">IFERROR(INDEX(Engine!$B$7:$B$26,MATCH(17,Engine!$CY$7:$CY$26,0)),"")</f>
        <v/>
      </c>
      <c r="G23" s="22" t="str">
        <f aca="false">IF(F23="","",COUNTIFS(Challenges!$D$7:$D$106,F23,Challenges!$F$7:$F$106,"Challenger")+COUNTIFS(Challenges!$E$7:$E$106,F23,Challenges!$F$7:$F$106,"Defender"))</f>
        <v/>
      </c>
      <c r="H23" s="22" t="str">
        <f aca="false">IF(F23="","",COUNTIFS(Challenges!$D$7:$D$106,F23,Challenges!$F$7:$F$106,"Defender")+COUNTIFS(Challenges!$E$7:$E$106,F23,Challenges!$F$7:$F$106,"Challenger"))</f>
        <v/>
      </c>
      <c r="I23" s="28" t="str">
        <f aca="false">IF(F23="","",MATCH(F23,$C$7:$C$26,0)-E23)</f>
        <v/>
      </c>
    </row>
    <row r="24" customFormat="false" ht="15" hidden="false" customHeight="false" outlineLevel="0" collapsed="false">
      <c r="B24" s="15" t="n">
        <v>18</v>
      </c>
      <c r="C24" s="10"/>
      <c r="E24" s="16" t="str">
        <f aca="false">IF(F24="","",18)</f>
        <v/>
      </c>
      <c r="F24" s="17" t="str">
        <f aca="false">IFERROR(INDEX(Engine!$B$7:$B$26,MATCH(18,Engine!$CY$7:$CY$26,0)),"")</f>
        <v/>
      </c>
      <c r="G24" s="22" t="str">
        <f aca="false">IF(F24="","",COUNTIFS(Challenges!$D$7:$D$106,F24,Challenges!$F$7:$F$106,"Challenger")+COUNTIFS(Challenges!$E$7:$E$106,F24,Challenges!$F$7:$F$106,"Defender"))</f>
        <v/>
      </c>
      <c r="H24" s="22" t="str">
        <f aca="false">IF(F24="","",COUNTIFS(Challenges!$D$7:$D$106,F24,Challenges!$F$7:$F$106,"Defender")+COUNTIFS(Challenges!$E$7:$E$106,F24,Challenges!$F$7:$F$106,"Challenger"))</f>
        <v/>
      </c>
      <c r="I24" s="28" t="str">
        <f aca="false">IF(F24="","",MATCH(F24,$C$7:$C$26,0)-E24)</f>
        <v/>
      </c>
    </row>
    <row r="25" customFormat="false" ht="15" hidden="false" customHeight="false" outlineLevel="0" collapsed="false">
      <c r="B25" s="15" t="n">
        <v>19</v>
      </c>
      <c r="C25" s="10"/>
      <c r="E25" s="16" t="str">
        <f aca="false">IF(F25="","",19)</f>
        <v/>
      </c>
      <c r="F25" s="17" t="str">
        <f aca="false">IFERROR(INDEX(Engine!$B$7:$B$26,MATCH(19,Engine!$CY$7:$CY$26,0)),"")</f>
        <v/>
      </c>
      <c r="G25" s="22" t="str">
        <f aca="false">IF(F25="","",COUNTIFS(Challenges!$D$7:$D$106,F25,Challenges!$F$7:$F$106,"Challenger")+COUNTIFS(Challenges!$E$7:$E$106,F25,Challenges!$F$7:$F$106,"Defender"))</f>
        <v/>
      </c>
      <c r="H25" s="22" t="str">
        <f aca="false">IF(F25="","",COUNTIFS(Challenges!$D$7:$D$106,F25,Challenges!$F$7:$F$106,"Defender")+COUNTIFS(Challenges!$E$7:$E$106,F25,Challenges!$F$7:$F$106,"Challenger"))</f>
        <v/>
      </c>
      <c r="I25" s="28" t="str">
        <f aca="false">IF(F25="","",MATCH(F25,$C$7:$C$26,0)-E25)</f>
        <v/>
      </c>
    </row>
    <row r="26" customFormat="false" ht="15" hidden="false" customHeight="false" outlineLevel="0" collapsed="false">
      <c r="B26" s="15" t="n">
        <v>20</v>
      </c>
      <c r="C26" s="10"/>
      <c r="E26" s="16" t="str">
        <f aca="false">IF(F26="","",20)</f>
        <v/>
      </c>
      <c r="F26" s="17" t="str">
        <f aca="false">IFERROR(INDEX(Engine!$B$7:$B$26,MATCH(20,Engine!$CY$7:$CY$26,0)),"")</f>
        <v/>
      </c>
      <c r="G26" s="22" t="str">
        <f aca="false">IF(F26="","",COUNTIFS(Challenges!$D$7:$D$106,F26,Challenges!$F$7:$F$106,"Challenger")+COUNTIFS(Challenges!$E$7:$E$106,F26,Challenges!$F$7:$F$106,"Defender"))</f>
        <v/>
      </c>
      <c r="H26" s="22" t="str">
        <f aca="false">IF(F26="","",COUNTIFS(Challenges!$D$7:$D$106,F26,Challenges!$F$7:$F$106,"Defender")+COUNTIFS(Challenges!$E$7:$E$106,F26,Challenges!$F$7:$F$106,"Challenger"))</f>
        <v/>
      </c>
      <c r="I26" s="28" t="str">
        <f aca="false">IF(F26="","",MATCH(F26,$C$7:$C$26,0)-E26)</f>
        <v/>
      </c>
    </row>
    <row r="28" customFormat="false" ht="15" hidden="false" customHeight="false" outlineLevel="0" collapsed="false">
      <c r="C28" s="8" t="s">
        <v>94</v>
      </c>
    </row>
  </sheetData>
  <conditionalFormatting sqref="I7:I26">
    <cfRule type="expression" priority="2" aboveAverage="0" equalAverage="0" bottom="0" percent="0" rank="0" text="" dxfId="4">
      <formula>AND(ISNUMBER(I7),I7&gt;0)</formula>
    </cfRule>
    <cfRule type="expression" priority="3" aboveAverage="0" equalAverage="0" bottom="0" percent="0" rank="0" text="" dxfId="3">
      <formula>AND(ISNUMBER(I7),I7&lt;0)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2D"/>
    <pageSetUpPr fitToPage="true"/>
  </sheetPr>
  <dimension ref="B2:L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3"/>
    <col collapsed="false" customWidth="true" hidden="false" outlineLevel="0" max="5" min="4" style="0" width="22"/>
    <col collapsed="false" customWidth="true" hidden="false" outlineLevel="0" max="7" min="6" style="0" width="13"/>
    <col collapsed="false" customWidth="true" hidden="false" outlineLevel="0" max="8" min="8" style="0" width="34"/>
    <col collapsed="false" customWidth="true" hidden="true" outlineLevel="0" max="12" min="10" style="0" width="13"/>
  </cols>
  <sheetData>
    <row r="2" customFormat="false" ht="33.75" hidden="false" customHeight="true" outlineLevel="0" collapsed="false">
      <c r="B2" s="1" t="s">
        <v>95</v>
      </c>
    </row>
    <row r="3" customFormat="false" ht="15" hidden="false" customHeight="false" outlineLevel="0" collapsed="false">
      <c r="B3" s="2" t="s">
        <v>96</v>
      </c>
    </row>
    <row r="4" customFormat="false" ht="15" hidden="false" customHeight="false" outlineLevel="0" collapsed="false">
      <c r="B4" s="3"/>
      <c r="C4" s="3"/>
      <c r="D4" s="3"/>
      <c r="E4" s="3"/>
      <c r="F4" s="3"/>
      <c r="G4" s="3"/>
      <c r="H4" s="3"/>
    </row>
    <row r="6" customFormat="false" ht="30" hidden="false" customHeight="true" outlineLevel="0" collapsed="false">
      <c r="B6" s="14" t="s">
        <v>41</v>
      </c>
      <c r="C6" s="14" t="s">
        <v>97</v>
      </c>
      <c r="D6" s="14" t="s">
        <v>98</v>
      </c>
      <c r="E6" s="14" t="s">
        <v>99</v>
      </c>
      <c r="F6" s="14" t="s">
        <v>59</v>
      </c>
      <c r="G6" s="14" t="s">
        <v>100</v>
      </c>
      <c r="H6" s="14" t="s">
        <v>101</v>
      </c>
    </row>
    <row r="7" customFormat="false" ht="15" hidden="false" customHeight="false" outlineLevel="0" collapsed="false">
      <c r="B7" s="15" t="n">
        <v>1</v>
      </c>
      <c r="C7" s="29" t="n">
        <v>46116</v>
      </c>
      <c r="D7" s="10" t="s">
        <v>88</v>
      </c>
      <c r="E7" s="10" t="s">
        <v>86</v>
      </c>
      <c r="F7" s="30" t="s">
        <v>98</v>
      </c>
      <c r="G7" s="30" t="s">
        <v>102</v>
      </c>
      <c r="H7" s="17" t="str">
        <f aca="false">IF(OR(D7="",E7="",F7=""),"",IF(L7=1,D7&amp;" moves up to #"&amp;K7,IF(F7="Challenger",D7&amp;" wins · no change",E7&amp;" stays at #"&amp;K7)))</f>
        <v>Sofia moves up to #3</v>
      </c>
      <c r="J7" s="19" t="n">
        <f aca="false">IFERROR(INDEX(Engine!$C$7:$C$26,MATCH(D7,Engine!$B$7:$B$26,0)),0)</f>
        <v>5</v>
      </c>
      <c r="K7" s="19" t="n">
        <f aca="false">IFERROR(INDEX(Engine!$C$7:$C$26,MATCH(E7,Engine!$B$7:$B$26,0)),0)</f>
        <v>3</v>
      </c>
      <c r="L7" s="19" t="n">
        <f aca="false">IF(AND(D7&lt;&gt;"",E7&lt;&gt;"",D7&lt;&gt;E7,F7="Challenger",J7&gt;0,K7&gt;0,J7&gt;K7),1,0)</f>
        <v>1</v>
      </c>
    </row>
    <row r="8" customFormat="false" ht="15" hidden="false" customHeight="false" outlineLevel="0" collapsed="false">
      <c r="B8" s="15" t="n">
        <v>2</v>
      </c>
      <c r="C8" s="29" t="n">
        <v>46123</v>
      </c>
      <c r="D8" s="10" t="s">
        <v>91</v>
      </c>
      <c r="E8" s="10" t="s">
        <v>90</v>
      </c>
      <c r="F8" s="30" t="s">
        <v>99</v>
      </c>
      <c r="G8" s="30" t="s">
        <v>103</v>
      </c>
      <c r="H8" s="17" t="str">
        <f aca="false">IF(OR(D8="",E8="",F8=""),"",IF(L8=1,D8&amp;" moves up to #"&amp;K8,IF(F8="Challenger",D8&amp;" wins · no change",E8&amp;" stays at #"&amp;K8)))</f>
        <v>Leah stays at #7</v>
      </c>
      <c r="J8" s="19" t="n">
        <f aca="false">IFERROR(INDEX(Engine!$D$7:$D$26,MATCH(D8,Engine!$B$7:$B$26,0)),0)</f>
        <v>8</v>
      </c>
      <c r="K8" s="19" t="n">
        <f aca="false">IFERROR(INDEX(Engine!$D$7:$D$26,MATCH(E8,Engine!$B$7:$B$26,0)),0)</f>
        <v>7</v>
      </c>
      <c r="L8" s="19" t="n">
        <f aca="false">IF(AND(D8&lt;&gt;"",E8&lt;&gt;"",D8&lt;&gt;E8,F8="Challenger",J8&gt;0,K8&gt;0,J8&gt;K8),1,0)</f>
        <v>0</v>
      </c>
    </row>
    <row r="9" customFormat="false" ht="15" hidden="false" customHeight="false" outlineLevel="0" collapsed="false">
      <c r="B9" s="15" t="n">
        <v>3</v>
      </c>
      <c r="C9" s="29" t="n">
        <v>46130</v>
      </c>
      <c r="D9" s="10" t="s">
        <v>93</v>
      </c>
      <c r="E9" s="10" t="s">
        <v>89</v>
      </c>
      <c r="F9" s="30" t="s">
        <v>98</v>
      </c>
      <c r="G9" s="30" t="s">
        <v>104</v>
      </c>
      <c r="H9" s="17" t="str">
        <f aca="false">IF(OR(D9="",E9="",F9=""),"",IF(L9=1,D9&amp;" moves up to #"&amp;K9,IF(F9="Challenger",D9&amp;" wins · no change",E9&amp;" stays at #"&amp;K9)))</f>
        <v>Oscar moves up to #6</v>
      </c>
      <c r="J9" s="19" t="n">
        <f aca="false">IFERROR(INDEX(Engine!$E$7:$E$26,MATCH(D9,Engine!$B$7:$B$26,0)),0)</f>
        <v>10</v>
      </c>
      <c r="K9" s="19" t="n">
        <f aca="false">IFERROR(INDEX(Engine!$E$7:$E$26,MATCH(E9,Engine!$B$7:$B$26,0)),0)</f>
        <v>6</v>
      </c>
      <c r="L9" s="19" t="n">
        <f aca="false">IF(AND(D9&lt;&gt;"",E9&lt;&gt;"",D9&lt;&gt;E9,F9="Challenger",J9&gt;0,K9&gt;0,J9&gt;K9),1,0)</f>
        <v>1</v>
      </c>
    </row>
    <row r="10" customFormat="false" ht="15" hidden="false" customHeight="false" outlineLevel="0" collapsed="false">
      <c r="B10" s="15" t="n">
        <v>4</v>
      </c>
      <c r="C10" s="29" t="n">
        <v>46137</v>
      </c>
      <c r="D10" s="10" t="s">
        <v>85</v>
      </c>
      <c r="E10" s="10" t="s">
        <v>84</v>
      </c>
      <c r="F10" s="30" t="s">
        <v>98</v>
      </c>
      <c r="G10" s="30" t="s">
        <v>105</v>
      </c>
      <c r="H10" s="17" t="str">
        <f aca="false">IF(OR(D10="",E10="",F10=""),"",IF(L10=1,D10&amp;" moves up to #"&amp;K10,IF(F10="Challenger",D10&amp;" wins · no change",E10&amp;" stays at #"&amp;K10)))</f>
        <v>Marcus moves up to #1</v>
      </c>
      <c r="J10" s="19" t="n">
        <f aca="false">IFERROR(INDEX(Engine!$F$7:$F$26,MATCH(D10,Engine!$B$7:$B$26,0)),0)</f>
        <v>2</v>
      </c>
      <c r="K10" s="19" t="n">
        <f aca="false">IFERROR(INDEX(Engine!$F$7:$F$26,MATCH(E10,Engine!$B$7:$B$26,0)),0)</f>
        <v>1</v>
      </c>
      <c r="L10" s="19" t="n">
        <f aca="false">IF(AND(D10&lt;&gt;"",E10&lt;&gt;"",D10&lt;&gt;E10,F10="Challenger",J10&gt;0,K10&gt;0,J10&gt;K10),1,0)</f>
        <v>1</v>
      </c>
    </row>
    <row r="11" customFormat="false" ht="15" hidden="false" customHeight="false" outlineLevel="0" collapsed="false">
      <c r="B11" s="15" t="n">
        <v>5</v>
      </c>
      <c r="C11" s="29"/>
      <c r="D11" s="10"/>
      <c r="E11" s="10"/>
      <c r="F11" s="30"/>
      <c r="G11" s="30"/>
      <c r="H11" s="17" t="str">
        <f aca="false">IF(OR(D11="",E11="",F11=""),"",IF(L11=1,D11&amp;" moves up to #"&amp;K11,IF(F11="Challenger",D11&amp;" wins · no change",E11&amp;" stays at #"&amp;K11)))</f>
        <v/>
      </c>
      <c r="J11" s="0" t="str">
        <f aca="false">IFERROR(INDEX(Engine!$G$7:$G$26,MATCH(D11,Engine!$B$7:$B$26,0)),0)</f>
        <v/>
      </c>
      <c r="K11" s="0" t="str">
        <f aca="false">IFERROR(INDEX(Engine!$G$7:$G$26,MATCH(E11,Engine!$B$7:$B$26,0)),0)</f>
        <v/>
      </c>
      <c r="L11" s="19" t="n">
        <f aca="false">IF(AND(D11&lt;&gt;"",E11&lt;&gt;"",D11&lt;&gt;E11,F11="Challenger",J11&gt;0,K11&gt;0,J11&gt;K11),1,0)</f>
        <v>0</v>
      </c>
    </row>
    <row r="12" customFormat="false" ht="15" hidden="false" customHeight="false" outlineLevel="0" collapsed="false">
      <c r="B12" s="15" t="n">
        <v>6</v>
      </c>
      <c r="C12" s="29"/>
      <c r="D12" s="10"/>
      <c r="E12" s="10"/>
      <c r="F12" s="30"/>
      <c r="G12" s="30"/>
      <c r="H12" s="17" t="str">
        <f aca="false">IF(OR(D12="",E12="",F12=""),"",IF(L12=1,D12&amp;" moves up to #"&amp;K12,IF(F12="Challenger",D12&amp;" wins · no change",E12&amp;" stays at #"&amp;K12)))</f>
        <v/>
      </c>
      <c r="J12" s="0" t="str">
        <f aca="false">IFERROR(INDEX(Engine!$H$7:$H$26,MATCH(D12,Engine!$B$7:$B$26,0)),0)</f>
        <v/>
      </c>
      <c r="K12" s="0" t="str">
        <f aca="false">IFERROR(INDEX(Engine!$H$7:$H$26,MATCH(E12,Engine!$B$7:$B$26,0)),0)</f>
        <v/>
      </c>
      <c r="L12" s="19" t="n">
        <f aca="false">IF(AND(D12&lt;&gt;"",E12&lt;&gt;"",D12&lt;&gt;E12,F12="Challenger",J12&gt;0,K12&gt;0,J12&gt;K12),1,0)</f>
        <v>0</v>
      </c>
    </row>
    <row r="13" customFormat="false" ht="15" hidden="false" customHeight="false" outlineLevel="0" collapsed="false">
      <c r="B13" s="15" t="n">
        <v>7</v>
      </c>
      <c r="C13" s="29"/>
      <c r="D13" s="10"/>
      <c r="E13" s="10"/>
      <c r="F13" s="30"/>
      <c r="G13" s="30"/>
      <c r="H13" s="17" t="str">
        <f aca="false">IF(OR(D13="",E13="",F13=""),"",IF(L13=1,D13&amp;" moves up to #"&amp;K13,IF(F13="Challenger",D13&amp;" wins · no change",E13&amp;" stays at #"&amp;K13)))</f>
        <v/>
      </c>
      <c r="J13" s="0" t="str">
        <f aca="false">IFERROR(INDEX(Engine!$I$7:$I$26,MATCH(D13,Engine!$B$7:$B$26,0)),0)</f>
        <v/>
      </c>
      <c r="K13" s="0" t="str">
        <f aca="false">IFERROR(INDEX(Engine!$I$7:$I$26,MATCH(E13,Engine!$B$7:$B$26,0)),0)</f>
        <v/>
      </c>
      <c r="L13" s="19" t="n">
        <f aca="false">IF(AND(D13&lt;&gt;"",E13&lt;&gt;"",D13&lt;&gt;E13,F13="Challenger",J13&gt;0,K13&gt;0,J13&gt;K13),1,0)</f>
        <v>0</v>
      </c>
    </row>
    <row r="14" customFormat="false" ht="15" hidden="false" customHeight="false" outlineLevel="0" collapsed="false">
      <c r="B14" s="15" t="n">
        <v>8</v>
      </c>
      <c r="C14" s="29"/>
      <c r="D14" s="10"/>
      <c r="E14" s="10"/>
      <c r="F14" s="30"/>
      <c r="G14" s="30"/>
      <c r="H14" s="17" t="str">
        <f aca="false">IF(OR(D14="",E14="",F14=""),"",IF(L14=1,D14&amp;" moves up to #"&amp;K14,IF(F14="Challenger",D14&amp;" wins · no change",E14&amp;" stays at #"&amp;K14)))</f>
        <v/>
      </c>
      <c r="J14" s="0" t="str">
        <f aca="false">IFERROR(INDEX(Engine!$J$7:$J$26,MATCH(D14,Engine!$B$7:$B$26,0)),0)</f>
        <v/>
      </c>
      <c r="K14" s="0" t="str">
        <f aca="false">IFERROR(INDEX(Engine!$J$7:$J$26,MATCH(E14,Engine!$B$7:$B$26,0)),0)</f>
        <v/>
      </c>
      <c r="L14" s="19" t="n">
        <f aca="false">IF(AND(D14&lt;&gt;"",E14&lt;&gt;"",D14&lt;&gt;E14,F14="Challenger",J14&gt;0,K14&gt;0,J14&gt;K14),1,0)</f>
        <v>0</v>
      </c>
    </row>
    <row r="15" customFormat="false" ht="15" hidden="false" customHeight="false" outlineLevel="0" collapsed="false">
      <c r="B15" s="15" t="n">
        <v>9</v>
      </c>
      <c r="C15" s="29"/>
      <c r="D15" s="10"/>
      <c r="E15" s="10"/>
      <c r="F15" s="30"/>
      <c r="G15" s="30"/>
      <c r="H15" s="17" t="str">
        <f aca="false">IF(OR(D15="",E15="",F15=""),"",IF(L15=1,D15&amp;" moves up to #"&amp;K15,IF(F15="Challenger",D15&amp;" wins · no change",E15&amp;" stays at #"&amp;K15)))</f>
        <v/>
      </c>
      <c r="J15" s="0" t="str">
        <f aca="false">IFERROR(INDEX(Engine!$K$7:$K$26,MATCH(D15,Engine!$B$7:$B$26,0)),0)</f>
        <v/>
      </c>
      <c r="K15" s="0" t="str">
        <f aca="false">IFERROR(INDEX(Engine!$K$7:$K$26,MATCH(E15,Engine!$B$7:$B$26,0)),0)</f>
        <v/>
      </c>
      <c r="L15" s="19" t="n">
        <f aca="false">IF(AND(D15&lt;&gt;"",E15&lt;&gt;"",D15&lt;&gt;E15,F15="Challenger",J15&gt;0,K15&gt;0,J15&gt;K15),1,0)</f>
        <v>0</v>
      </c>
    </row>
    <row r="16" customFormat="false" ht="15" hidden="false" customHeight="false" outlineLevel="0" collapsed="false">
      <c r="B16" s="15" t="n">
        <v>10</v>
      </c>
      <c r="C16" s="29"/>
      <c r="D16" s="10"/>
      <c r="E16" s="10"/>
      <c r="F16" s="30"/>
      <c r="G16" s="30"/>
      <c r="H16" s="17" t="str">
        <f aca="false">IF(OR(D16="",E16="",F16=""),"",IF(L16=1,D16&amp;" moves up to #"&amp;K16,IF(F16="Challenger",D16&amp;" wins · no change",E16&amp;" stays at #"&amp;K16)))</f>
        <v/>
      </c>
      <c r="J16" s="0" t="str">
        <f aca="false">IFERROR(INDEX(Engine!$L$7:$L$26,MATCH(D16,Engine!$B$7:$B$26,0)),0)</f>
        <v/>
      </c>
      <c r="K16" s="0" t="str">
        <f aca="false">IFERROR(INDEX(Engine!$L$7:$L$26,MATCH(E16,Engine!$B$7:$B$26,0)),0)</f>
        <v/>
      </c>
      <c r="L16" s="19" t="n">
        <f aca="false">IF(AND(D16&lt;&gt;"",E16&lt;&gt;"",D16&lt;&gt;E16,F16="Challenger",J16&gt;0,K16&gt;0,J16&gt;K16),1,0)</f>
        <v>0</v>
      </c>
    </row>
    <row r="17" customFormat="false" ht="15" hidden="false" customHeight="false" outlineLevel="0" collapsed="false">
      <c r="B17" s="15" t="n">
        <v>11</v>
      </c>
      <c r="C17" s="29"/>
      <c r="D17" s="10"/>
      <c r="E17" s="10"/>
      <c r="F17" s="30"/>
      <c r="G17" s="30"/>
      <c r="H17" s="17" t="str">
        <f aca="false">IF(OR(D17="",E17="",F17=""),"",IF(L17=1,D17&amp;" moves up to #"&amp;K17,IF(F17="Challenger",D17&amp;" wins · no change",E17&amp;" stays at #"&amp;K17)))</f>
        <v/>
      </c>
      <c r="J17" s="0" t="str">
        <f aca="false">IFERROR(INDEX(Engine!$M$7:$M$26,MATCH(D17,Engine!$B$7:$B$26,0)),0)</f>
        <v/>
      </c>
      <c r="K17" s="0" t="str">
        <f aca="false">IFERROR(INDEX(Engine!$M$7:$M$26,MATCH(E17,Engine!$B$7:$B$26,0)),0)</f>
        <v/>
      </c>
      <c r="L17" s="19" t="n">
        <f aca="false">IF(AND(D17&lt;&gt;"",E17&lt;&gt;"",D17&lt;&gt;E17,F17="Challenger",J17&gt;0,K17&gt;0,J17&gt;K17),1,0)</f>
        <v>0</v>
      </c>
    </row>
    <row r="18" customFormat="false" ht="15" hidden="false" customHeight="false" outlineLevel="0" collapsed="false">
      <c r="B18" s="15" t="n">
        <v>12</v>
      </c>
      <c r="C18" s="29"/>
      <c r="D18" s="10"/>
      <c r="E18" s="10"/>
      <c r="F18" s="30"/>
      <c r="G18" s="30"/>
      <c r="H18" s="17" t="str">
        <f aca="false">IF(OR(D18="",E18="",F18=""),"",IF(L18=1,D18&amp;" moves up to #"&amp;K18,IF(F18="Challenger",D18&amp;" wins · no change",E18&amp;" stays at #"&amp;K18)))</f>
        <v/>
      </c>
      <c r="J18" s="0" t="str">
        <f aca="false">IFERROR(INDEX(Engine!$N$7:$N$26,MATCH(D18,Engine!$B$7:$B$26,0)),0)</f>
        <v/>
      </c>
      <c r="K18" s="0" t="str">
        <f aca="false">IFERROR(INDEX(Engine!$N$7:$N$26,MATCH(E18,Engine!$B$7:$B$26,0)),0)</f>
        <v/>
      </c>
      <c r="L18" s="19" t="n">
        <f aca="false">IF(AND(D18&lt;&gt;"",E18&lt;&gt;"",D18&lt;&gt;E18,F18="Challenger",J18&gt;0,K18&gt;0,J18&gt;K18),1,0)</f>
        <v>0</v>
      </c>
    </row>
    <row r="19" customFormat="false" ht="15" hidden="false" customHeight="false" outlineLevel="0" collapsed="false">
      <c r="B19" s="15" t="n">
        <v>13</v>
      </c>
      <c r="C19" s="29"/>
      <c r="D19" s="10"/>
      <c r="E19" s="10"/>
      <c r="F19" s="30"/>
      <c r="G19" s="30"/>
      <c r="H19" s="17" t="str">
        <f aca="false">IF(OR(D19="",E19="",F19=""),"",IF(L19=1,D19&amp;" moves up to #"&amp;K19,IF(F19="Challenger",D19&amp;" wins · no change",E19&amp;" stays at #"&amp;K19)))</f>
        <v/>
      </c>
      <c r="J19" s="0" t="str">
        <f aca="false">IFERROR(INDEX(Engine!$O$7:$O$26,MATCH(D19,Engine!$B$7:$B$26,0)),0)</f>
        <v/>
      </c>
      <c r="K19" s="0" t="str">
        <f aca="false">IFERROR(INDEX(Engine!$O$7:$O$26,MATCH(E19,Engine!$B$7:$B$26,0)),0)</f>
        <v/>
      </c>
      <c r="L19" s="19" t="n">
        <f aca="false">IF(AND(D19&lt;&gt;"",E19&lt;&gt;"",D19&lt;&gt;E19,F19="Challenger",J19&gt;0,K19&gt;0,J19&gt;K19),1,0)</f>
        <v>0</v>
      </c>
    </row>
    <row r="20" customFormat="false" ht="15" hidden="false" customHeight="false" outlineLevel="0" collapsed="false">
      <c r="B20" s="15" t="n">
        <v>14</v>
      </c>
      <c r="C20" s="29"/>
      <c r="D20" s="10"/>
      <c r="E20" s="10"/>
      <c r="F20" s="30"/>
      <c r="G20" s="30"/>
      <c r="H20" s="17" t="str">
        <f aca="false">IF(OR(D20="",E20="",F20=""),"",IF(L20=1,D20&amp;" moves up to #"&amp;K20,IF(F20="Challenger",D20&amp;" wins · no change",E20&amp;" stays at #"&amp;K20)))</f>
        <v/>
      </c>
      <c r="J20" s="0" t="str">
        <f aca="false">IFERROR(INDEX(Engine!$P$7:$P$26,MATCH(D20,Engine!$B$7:$B$26,0)),0)</f>
        <v/>
      </c>
      <c r="K20" s="0" t="str">
        <f aca="false">IFERROR(INDEX(Engine!$P$7:$P$26,MATCH(E20,Engine!$B$7:$B$26,0)),0)</f>
        <v/>
      </c>
      <c r="L20" s="19" t="n">
        <f aca="false">IF(AND(D20&lt;&gt;"",E20&lt;&gt;"",D20&lt;&gt;E20,F20="Challenger",J20&gt;0,K20&gt;0,J20&gt;K20),1,0)</f>
        <v>0</v>
      </c>
    </row>
    <row r="21" customFormat="false" ht="15" hidden="false" customHeight="false" outlineLevel="0" collapsed="false">
      <c r="B21" s="15" t="n">
        <v>15</v>
      </c>
      <c r="C21" s="29"/>
      <c r="D21" s="10"/>
      <c r="E21" s="10"/>
      <c r="F21" s="30"/>
      <c r="G21" s="30"/>
      <c r="H21" s="17" t="str">
        <f aca="false">IF(OR(D21="",E21="",F21=""),"",IF(L21=1,D21&amp;" moves up to #"&amp;K21,IF(F21="Challenger",D21&amp;" wins · no change",E21&amp;" stays at #"&amp;K21)))</f>
        <v/>
      </c>
      <c r="J21" s="0" t="str">
        <f aca="false">IFERROR(INDEX(Engine!$Q$7:$Q$26,MATCH(D21,Engine!$B$7:$B$26,0)),0)</f>
        <v/>
      </c>
      <c r="K21" s="0" t="str">
        <f aca="false">IFERROR(INDEX(Engine!$Q$7:$Q$26,MATCH(E21,Engine!$B$7:$B$26,0)),0)</f>
        <v/>
      </c>
      <c r="L21" s="19" t="n">
        <f aca="false">IF(AND(D21&lt;&gt;"",E21&lt;&gt;"",D21&lt;&gt;E21,F21="Challenger",J21&gt;0,K21&gt;0,J21&gt;K21),1,0)</f>
        <v>0</v>
      </c>
    </row>
    <row r="22" customFormat="false" ht="15" hidden="false" customHeight="false" outlineLevel="0" collapsed="false">
      <c r="B22" s="15" t="n">
        <v>16</v>
      </c>
      <c r="C22" s="29"/>
      <c r="D22" s="10"/>
      <c r="E22" s="10"/>
      <c r="F22" s="30"/>
      <c r="G22" s="30"/>
      <c r="H22" s="17" t="str">
        <f aca="false">IF(OR(D22="",E22="",F22=""),"",IF(L22=1,D22&amp;" moves up to #"&amp;K22,IF(F22="Challenger",D22&amp;" wins · no change",E22&amp;" stays at #"&amp;K22)))</f>
        <v/>
      </c>
      <c r="J22" s="0" t="str">
        <f aca="false">IFERROR(INDEX(Engine!$R$7:$R$26,MATCH(D22,Engine!$B$7:$B$26,0)),0)</f>
        <v/>
      </c>
      <c r="K22" s="0" t="str">
        <f aca="false">IFERROR(INDEX(Engine!$R$7:$R$26,MATCH(E22,Engine!$B$7:$B$26,0)),0)</f>
        <v/>
      </c>
      <c r="L22" s="19" t="n">
        <f aca="false">IF(AND(D22&lt;&gt;"",E22&lt;&gt;"",D22&lt;&gt;E22,F22="Challenger",J22&gt;0,K22&gt;0,J22&gt;K22),1,0)</f>
        <v>0</v>
      </c>
    </row>
    <row r="23" customFormat="false" ht="15" hidden="false" customHeight="false" outlineLevel="0" collapsed="false">
      <c r="B23" s="15" t="n">
        <v>17</v>
      </c>
      <c r="C23" s="29"/>
      <c r="D23" s="10"/>
      <c r="E23" s="10"/>
      <c r="F23" s="30"/>
      <c r="G23" s="30"/>
      <c r="H23" s="17" t="str">
        <f aca="false">IF(OR(D23="",E23="",F23=""),"",IF(L23=1,D23&amp;" moves up to #"&amp;K23,IF(F23="Challenger",D23&amp;" wins · no change",E23&amp;" stays at #"&amp;K23)))</f>
        <v/>
      </c>
      <c r="J23" s="0" t="str">
        <f aca="false">IFERROR(INDEX(Engine!$S$7:$S$26,MATCH(D23,Engine!$B$7:$B$26,0)),0)</f>
        <v/>
      </c>
      <c r="K23" s="0" t="str">
        <f aca="false">IFERROR(INDEX(Engine!$S$7:$S$26,MATCH(E23,Engine!$B$7:$B$26,0)),0)</f>
        <v/>
      </c>
      <c r="L23" s="19" t="n">
        <f aca="false">IF(AND(D23&lt;&gt;"",E23&lt;&gt;"",D23&lt;&gt;E23,F23="Challenger",J23&gt;0,K23&gt;0,J23&gt;K23),1,0)</f>
        <v>0</v>
      </c>
    </row>
    <row r="24" customFormat="false" ht="15" hidden="false" customHeight="false" outlineLevel="0" collapsed="false">
      <c r="B24" s="15" t="n">
        <v>18</v>
      </c>
      <c r="C24" s="29"/>
      <c r="D24" s="10"/>
      <c r="E24" s="10"/>
      <c r="F24" s="30"/>
      <c r="G24" s="30"/>
      <c r="H24" s="17" t="str">
        <f aca="false">IF(OR(D24="",E24="",F24=""),"",IF(L24=1,D24&amp;" moves up to #"&amp;K24,IF(F24="Challenger",D24&amp;" wins · no change",E24&amp;" stays at #"&amp;K24)))</f>
        <v/>
      </c>
      <c r="J24" s="0" t="str">
        <f aca="false">IFERROR(INDEX(Engine!$T$7:$T$26,MATCH(D24,Engine!$B$7:$B$26,0)),0)</f>
        <v/>
      </c>
      <c r="K24" s="0" t="str">
        <f aca="false">IFERROR(INDEX(Engine!$T$7:$T$26,MATCH(E24,Engine!$B$7:$B$26,0)),0)</f>
        <v/>
      </c>
      <c r="L24" s="19" t="n">
        <f aca="false">IF(AND(D24&lt;&gt;"",E24&lt;&gt;"",D24&lt;&gt;E24,F24="Challenger",J24&gt;0,K24&gt;0,J24&gt;K24),1,0)</f>
        <v>0</v>
      </c>
    </row>
    <row r="25" customFormat="false" ht="15" hidden="false" customHeight="false" outlineLevel="0" collapsed="false">
      <c r="B25" s="15" t="n">
        <v>19</v>
      </c>
      <c r="C25" s="29"/>
      <c r="D25" s="10"/>
      <c r="E25" s="10"/>
      <c r="F25" s="30"/>
      <c r="G25" s="30"/>
      <c r="H25" s="17" t="str">
        <f aca="false">IF(OR(D25="",E25="",F25=""),"",IF(L25=1,D25&amp;" moves up to #"&amp;K25,IF(F25="Challenger",D25&amp;" wins · no change",E25&amp;" stays at #"&amp;K25)))</f>
        <v/>
      </c>
      <c r="J25" s="0" t="str">
        <f aca="false">IFERROR(INDEX(Engine!$U$7:$U$26,MATCH(D25,Engine!$B$7:$B$26,0)),0)</f>
        <v/>
      </c>
      <c r="K25" s="0" t="str">
        <f aca="false">IFERROR(INDEX(Engine!$U$7:$U$26,MATCH(E25,Engine!$B$7:$B$26,0)),0)</f>
        <v/>
      </c>
      <c r="L25" s="19" t="n">
        <f aca="false">IF(AND(D25&lt;&gt;"",E25&lt;&gt;"",D25&lt;&gt;E25,F25="Challenger",J25&gt;0,K25&gt;0,J25&gt;K25),1,0)</f>
        <v>0</v>
      </c>
    </row>
    <row r="26" customFormat="false" ht="15" hidden="false" customHeight="false" outlineLevel="0" collapsed="false">
      <c r="B26" s="15" t="n">
        <v>20</v>
      </c>
      <c r="C26" s="29"/>
      <c r="D26" s="10"/>
      <c r="E26" s="10"/>
      <c r="F26" s="30"/>
      <c r="G26" s="30"/>
      <c r="H26" s="17" t="str">
        <f aca="false">IF(OR(D26="",E26="",F26=""),"",IF(L26=1,D26&amp;" moves up to #"&amp;K26,IF(F26="Challenger",D26&amp;" wins · no change",E26&amp;" stays at #"&amp;K26)))</f>
        <v/>
      </c>
      <c r="J26" s="0" t="str">
        <f aca="false">IFERROR(INDEX(Engine!$V$7:$V$26,MATCH(D26,Engine!$B$7:$B$26,0)),0)</f>
        <v/>
      </c>
      <c r="K26" s="0" t="str">
        <f aca="false">IFERROR(INDEX(Engine!$V$7:$V$26,MATCH(E26,Engine!$B$7:$B$26,0)),0)</f>
        <v/>
      </c>
      <c r="L26" s="19" t="n">
        <f aca="false">IF(AND(D26&lt;&gt;"",E26&lt;&gt;"",D26&lt;&gt;E26,F26="Challenger",J26&gt;0,K26&gt;0,J26&gt;K26),1,0)</f>
        <v>0</v>
      </c>
    </row>
    <row r="27" customFormat="false" ht="15" hidden="false" customHeight="false" outlineLevel="0" collapsed="false">
      <c r="B27" s="15" t="n">
        <v>21</v>
      </c>
      <c r="C27" s="29"/>
      <c r="D27" s="10"/>
      <c r="E27" s="10"/>
      <c r="F27" s="30"/>
      <c r="G27" s="30"/>
      <c r="H27" s="17" t="str">
        <f aca="false">IF(OR(D27="",E27="",F27=""),"",IF(L27=1,D27&amp;" moves up to #"&amp;K27,IF(F27="Challenger",D27&amp;" wins · no change",E27&amp;" stays at #"&amp;K27)))</f>
        <v/>
      </c>
      <c r="J27" s="0" t="str">
        <f aca="false">IFERROR(INDEX(Engine!$W$7:$W$26,MATCH(D27,Engine!$B$7:$B$26,0)),0)</f>
        <v/>
      </c>
      <c r="K27" s="0" t="str">
        <f aca="false">IFERROR(INDEX(Engine!$W$7:$W$26,MATCH(E27,Engine!$B$7:$B$26,0)),0)</f>
        <v/>
      </c>
      <c r="L27" s="19" t="n">
        <f aca="false">IF(AND(D27&lt;&gt;"",E27&lt;&gt;"",D27&lt;&gt;E27,F27="Challenger",J27&gt;0,K27&gt;0,J27&gt;K27),1,0)</f>
        <v>0</v>
      </c>
    </row>
    <row r="28" customFormat="false" ht="15" hidden="false" customHeight="false" outlineLevel="0" collapsed="false">
      <c r="B28" s="15" t="n">
        <v>22</v>
      </c>
      <c r="C28" s="29"/>
      <c r="D28" s="10"/>
      <c r="E28" s="10"/>
      <c r="F28" s="30"/>
      <c r="G28" s="30"/>
      <c r="H28" s="17" t="str">
        <f aca="false">IF(OR(D28="",E28="",F28=""),"",IF(L28=1,D28&amp;" moves up to #"&amp;K28,IF(F28="Challenger",D28&amp;" wins · no change",E28&amp;" stays at #"&amp;K28)))</f>
        <v/>
      </c>
      <c r="J28" s="0" t="str">
        <f aca="false">IFERROR(INDEX(Engine!$X$7:$X$26,MATCH(D28,Engine!$B$7:$B$26,0)),0)</f>
        <v/>
      </c>
      <c r="K28" s="0" t="str">
        <f aca="false">IFERROR(INDEX(Engine!$X$7:$X$26,MATCH(E28,Engine!$B$7:$B$26,0)),0)</f>
        <v/>
      </c>
      <c r="L28" s="19" t="n">
        <f aca="false">IF(AND(D28&lt;&gt;"",E28&lt;&gt;"",D28&lt;&gt;E28,F28="Challenger",J28&gt;0,K28&gt;0,J28&gt;K28),1,0)</f>
        <v>0</v>
      </c>
    </row>
    <row r="29" customFormat="false" ht="15" hidden="false" customHeight="false" outlineLevel="0" collapsed="false">
      <c r="B29" s="15" t="n">
        <v>23</v>
      </c>
      <c r="C29" s="29"/>
      <c r="D29" s="10"/>
      <c r="E29" s="10"/>
      <c r="F29" s="30"/>
      <c r="G29" s="30"/>
      <c r="H29" s="17" t="str">
        <f aca="false">IF(OR(D29="",E29="",F29=""),"",IF(L29=1,D29&amp;" moves up to #"&amp;K29,IF(F29="Challenger",D29&amp;" wins · no change",E29&amp;" stays at #"&amp;K29)))</f>
        <v/>
      </c>
      <c r="J29" s="0" t="str">
        <f aca="false">IFERROR(INDEX(Engine!$Y$7:$Y$26,MATCH(D29,Engine!$B$7:$B$26,0)),0)</f>
        <v/>
      </c>
      <c r="K29" s="0" t="str">
        <f aca="false">IFERROR(INDEX(Engine!$Y$7:$Y$26,MATCH(E29,Engine!$B$7:$B$26,0)),0)</f>
        <v/>
      </c>
      <c r="L29" s="19" t="n">
        <f aca="false">IF(AND(D29&lt;&gt;"",E29&lt;&gt;"",D29&lt;&gt;E29,F29="Challenger",J29&gt;0,K29&gt;0,J29&gt;K29),1,0)</f>
        <v>0</v>
      </c>
    </row>
    <row r="30" customFormat="false" ht="15" hidden="false" customHeight="false" outlineLevel="0" collapsed="false">
      <c r="B30" s="15" t="n">
        <v>24</v>
      </c>
      <c r="C30" s="29"/>
      <c r="D30" s="10"/>
      <c r="E30" s="10"/>
      <c r="F30" s="30"/>
      <c r="G30" s="30"/>
      <c r="H30" s="17" t="str">
        <f aca="false">IF(OR(D30="",E30="",F30=""),"",IF(L30=1,D30&amp;" moves up to #"&amp;K30,IF(F30="Challenger",D30&amp;" wins · no change",E30&amp;" stays at #"&amp;K30)))</f>
        <v/>
      </c>
      <c r="J30" s="0" t="str">
        <f aca="false">IFERROR(INDEX(Engine!$Z$7:$Z$26,MATCH(D30,Engine!$B$7:$B$26,0)),0)</f>
        <v/>
      </c>
      <c r="K30" s="0" t="str">
        <f aca="false">IFERROR(INDEX(Engine!$Z$7:$Z$26,MATCH(E30,Engine!$B$7:$B$26,0)),0)</f>
        <v/>
      </c>
      <c r="L30" s="19" t="n">
        <f aca="false">IF(AND(D30&lt;&gt;"",E30&lt;&gt;"",D30&lt;&gt;E30,F30="Challenger",J30&gt;0,K30&gt;0,J30&gt;K30),1,0)</f>
        <v>0</v>
      </c>
    </row>
    <row r="31" customFormat="false" ht="15" hidden="false" customHeight="false" outlineLevel="0" collapsed="false">
      <c r="B31" s="15" t="n">
        <v>25</v>
      </c>
      <c r="C31" s="29"/>
      <c r="D31" s="10"/>
      <c r="E31" s="10"/>
      <c r="F31" s="30"/>
      <c r="G31" s="30"/>
      <c r="H31" s="17" t="str">
        <f aca="false">IF(OR(D31="",E31="",F31=""),"",IF(L31=1,D31&amp;" moves up to #"&amp;K31,IF(F31="Challenger",D31&amp;" wins · no change",E31&amp;" stays at #"&amp;K31)))</f>
        <v/>
      </c>
      <c r="J31" s="0" t="str">
        <f aca="false">IFERROR(INDEX(Engine!$AA$7:$AA$26,MATCH(D31,Engine!$B$7:$B$26,0)),0)</f>
        <v/>
      </c>
      <c r="K31" s="0" t="str">
        <f aca="false">IFERROR(INDEX(Engine!$AA$7:$AA$26,MATCH(E31,Engine!$B$7:$B$26,0)),0)</f>
        <v/>
      </c>
      <c r="L31" s="19" t="n">
        <f aca="false">IF(AND(D31&lt;&gt;"",E31&lt;&gt;"",D31&lt;&gt;E31,F31="Challenger",J31&gt;0,K31&gt;0,J31&gt;K31),1,0)</f>
        <v>0</v>
      </c>
    </row>
    <row r="32" customFormat="false" ht="15" hidden="false" customHeight="false" outlineLevel="0" collapsed="false">
      <c r="B32" s="15" t="n">
        <v>26</v>
      </c>
      <c r="C32" s="29"/>
      <c r="D32" s="10"/>
      <c r="E32" s="10"/>
      <c r="F32" s="30"/>
      <c r="G32" s="30"/>
      <c r="H32" s="17" t="str">
        <f aca="false">IF(OR(D32="",E32="",F32=""),"",IF(L32=1,D32&amp;" moves up to #"&amp;K32,IF(F32="Challenger",D32&amp;" wins · no change",E32&amp;" stays at #"&amp;K32)))</f>
        <v/>
      </c>
      <c r="J32" s="0" t="str">
        <f aca="false">IFERROR(INDEX(Engine!$AB$7:$AB$26,MATCH(D32,Engine!$B$7:$B$26,0)),0)</f>
        <v/>
      </c>
      <c r="K32" s="0" t="str">
        <f aca="false">IFERROR(INDEX(Engine!$AB$7:$AB$26,MATCH(E32,Engine!$B$7:$B$26,0)),0)</f>
        <v/>
      </c>
      <c r="L32" s="19" t="n">
        <f aca="false">IF(AND(D32&lt;&gt;"",E32&lt;&gt;"",D32&lt;&gt;E32,F32="Challenger",J32&gt;0,K32&gt;0,J32&gt;K32),1,0)</f>
        <v>0</v>
      </c>
    </row>
    <row r="33" customFormat="false" ht="15" hidden="false" customHeight="false" outlineLevel="0" collapsed="false">
      <c r="B33" s="15" t="n">
        <v>27</v>
      </c>
      <c r="C33" s="29"/>
      <c r="D33" s="10"/>
      <c r="E33" s="10"/>
      <c r="F33" s="30"/>
      <c r="G33" s="30"/>
      <c r="H33" s="17" t="str">
        <f aca="false">IF(OR(D33="",E33="",F33=""),"",IF(L33=1,D33&amp;" moves up to #"&amp;K33,IF(F33="Challenger",D33&amp;" wins · no change",E33&amp;" stays at #"&amp;K33)))</f>
        <v/>
      </c>
      <c r="J33" s="0" t="str">
        <f aca="false">IFERROR(INDEX(Engine!$AC$7:$AC$26,MATCH(D33,Engine!$B$7:$B$26,0)),0)</f>
        <v/>
      </c>
      <c r="K33" s="0" t="str">
        <f aca="false">IFERROR(INDEX(Engine!$AC$7:$AC$26,MATCH(E33,Engine!$B$7:$B$26,0)),0)</f>
        <v/>
      </c>
      <c r="L33" s="19" t="n">
        <f aca="false">IF(AND(D33&lt;&gt;"",E33&lt;&gt;"",D33&lt;&gt;E33,F33="Challenger",J33&gt;0,K33&gt;0,J33&gt;K33),1,0)</f>
        <v>0</v>
      </c>
    </row>
    <row r="34" customFormat="false" ht="15" hidden="false" customHeight="false" outlineLevel="0" collapsed="false">
      <c r="B34" s="15" t="n">
        <v>28</v>
      </c>
      <c r="C34" s="29"/>
      <c r="D34" s="10"/>
      <c r="E34" s="10"/>
      <c r="F34" s="30"/>
      <c r="G34" s="30"/>
      <c r="H34" s="17" t="str">
        <f aca="false">IF(OR(D34="",E34="",F34=""),"",IF(L34=1,D34&amp;" moves up to #"&amp;K34,IF(F34="Challenger",D34&amp;" wins · no change",E34&amp;" stays at #"&amp;K34)))</f>
        <v/>
      </c>
      <c r="J34" s="0" t="str">
        <f aca="false">IFERROR(INDEX(Engine!$AD$7:$AD$26,MATCH(D34,Engine!$B$7:$B$26,0)),0)</f>
        <v/>
      </c>
      <c r="K34" s="0" t="str">
        <f aca="false">IFERROR(INDEX(Engine!$AD$7:$AD$26,MATCH(E34,Engine!$B$7:$B$26,0)),0)</f>
        <v/>
      </c>
      <c r="L34" s="19" t="n">
        <f aca="false">IF(AND(D34&lt;&gt;"",E34&lt;&gt;"",D34&lt;&gt;E34,F34="Challenger",J34&gt;0,K34&gt;0,J34&gt;K34),1,0)</f>
        <v>0</v>
      </c>
    </row>
    <row r="35" customFormat="false" ht="15" hidden="false" customHeight="false" outlineLevel="0" collapsed="false">
      <c r="B35" s="15" t="n">
        <v>29</v>
      </c>
      <c r="C35" s="29"/>
      <c r="D35" s="10"/>
      <c r="E35" s="10"/>
      <c r="F35" s="30"/>
      <c r="G35" s="30"/>
      <c r="H35" s="17" t="str">
        <f aca="false">IF(OR(D35="",E35="",F35=""),"",IF(L35=1,D35&amp;" moves up to #"&amp;K35,IF(F35="Challenger",D35&amp;" wins · no change",E35&amp;" stays at #"&amp;K35)))</f>
        <v/>
      </c>
      <c r="J35" s="0" t="str">
        <f aca="false">IFERROR(INDEX(Engine!$AE$7:$AE$26,MATCH(D35,Engine!$B$7:$B$26,0)),0)</f>
        <v/>
      </c>
      <c r="K35" s="0" t="str">
        <f aca="false">IFERROR(INDEX(Engine!$AE$7:$AE$26,MATCH(E35,Engine!$B$7:$B$26,0)),0)</f>
        <v/>
      </c>
      <c r="L35" s="19" t="n">
        <f aca="false">IF(AND(D35&lt;&gt;"",E35&lt;&gt;"",D35&lt;&gt;E35,F35="Challenger",J35&gt;0,K35&gt;0,J35&gt;K35),1,0)</f>
        <v>0</v>
      </c>
    </row>
    <row r="36" customFormat="false" ht="15" hidden="false" customHeight="false" outlineLevel="0" collapsed="false">
      <c r="B36" s="15" t="n">
        <v>30</v>
      </c>
      <c r="C36" s="29"/>
      <c r="D36" s="10"/>
      <c r="E36" s="10"/>
      <c r="F36" s="30"/>
      <c r="G36" s="30"/>
      <c r="H36" s="17" t="str">
        <f aca="false">IF(OR(D36="",E36="",F36=""),"",IF(L36=1,D36&amp;" moves up to #"&amp;K36,IF(F36="Challenger",D36&amp;" wins · no change",E36&amp;" stays at #"&amp;K36)))</f>
        <v/>
      </c>
      <c r="J36" s="0" t="str">
        <f aca="false">IFERROR(INDEX(Engine!$AF$7:$AF$26,MATCH(D36,Engine!$B$7:$B$26,0)),0)</f>
        <v/>
      </c>
      <c r="K36" s="0" t="str">
        <f aca="false">IFERROR(INDEX(Engine!$AF$7:$AF$26,MATCH(E36,Engine!$B$7:$B$26,0)),0)</f>
        <v/>
      </c>
      <c r="L36" s="19" t="n">
        <f aca="false">IF(AND(D36&lt;&gt;"",E36&lt;&gt;"",D36&lt;&gt;E36,F36="Challenger",J36&gt;0,K36&gt;0,J36&gt;K36),1,0)</f>
        <v>0</v>
      </c>
    </row>
    <row r="37" customFormat="false" ht="15" hidden="false" customHeight="false" outlineLevel="0" collapsed="false">
      <c r="B37" s="15" t="n">
        <v>31</v>
      </c>
      <c r="C37" s="29"/>
      <c r="D37" s="10"/>
      <c r="E37" s="10"/>
      <c r="F37" s="30"/>
      <c r="G37" s="30"/>
      <c r="H37" s="17" t="str">
        <f aca="false">IF(OR(D37="",E37="",F37=""),"",IF(L37=1,D37&amp;" moves up to #"&amp;K37,IF(F37="Challenger",D37&amp;" wins · no change",E37&amp;" stays at #"&amp;K37)))</f>
        <v/>
      </c>
      <c r="J37" s="0" t="str">
        <f aca="false">IFERROR(INDEX(Engine!$AG$7:$AG$26,MATCH(D37,Engine!$B$7:$B$26,0)),0)</f>
        <v/>
      </c>
      <c r="K37" s="0" t="str">
        <f aca="false">IFERROR(INDEX(Engine!$AG$7:$AG$26,MATCH(E37,Engine!$B$7:$B$26,0)),0)</f>
        <v/>
      </c>
      <c r="L37" s="19" t="n">
        <f aca="false">IF(AND(D37&lt;&gt;"",E37&lt;&gt;"",D37&lt;&gt;E37,F37="Challenger",J37&gt;0,K37&gt;0,J37&gt;K37),1,0)</f>
        <v>0</v>
      </c>
    </row>
    <row r="38" customFormat="false" ht="15" hidden="false" customHeight="false" outlineLevel="0" collapsed="false">
      <c r="B38" s="15" t="n">
        <v>32</v>
      </c>
      <c r="C38" s="29"/>
      <c r="D38" s="10"/>
      <c r="E38" s="10"/>
      <c r="F38" s="30"/>
      <c r="G38" s="30"/>
      <c r="H38" s="17" t="str">
        <f aca="false">IF(OR(D38="",E38="",F38=""),"",IF(L38=1,D38&amp;" moves up to #"&amp;K38,IF(F38="Challenger",D38&amp;" wins · no change",E38&amp;" stays at #"&amp;K38)))</f>
        <v/>
      </c>
      <c r="J38" s="0" t="str">
        <f aca="false">IFERROR(INDEX(Engine!$AH$7:$AH$26,MATCH(D38,Engine!$B$7:$B$26,0)),0)</f>
        <v/>
      </c>
      <c r="K38" s="0" t="str">
        <f aca="false">IFERROR(INDEX(Engine!$AH$7:$AH$26,MATCH(E38,Engine!$B$7:$B$26,0)),0)</f>
        <v/>
      </c>
      <c r="L38" s="19" t="n">
        <f aca="false">IF(AND(D38&lt;&gt;"",E38&lt;&gt;"",D38&lt;&gt;E38,F38="Challenger",J38&gt;0,K38&gt;0,J38&gt;K38),1,0)</f>
        <v>0</v>
      </c>
    </row>
    <row r="39" customFormat="false" ht="15" hidden="false" customHeight="false" outlineLevel="0" collapsed="false">
      <c r="B39" s="15" t="n">
        <v>33</v>
      </c>
      <c r="C39" s="29"/>
      <c r="D39" s="10"/>
      <c r="E39" s="10"/>
      <c r="F39" s="30"/>
      <c r="G39" s="30"/>
      <c r="H39" s="17" t="str">
        <f aca="false">IF(OR(D39="",E39="",F39=""),"",IF(L39=1,D39&amp;" moves up to #"&amp;K39,IF(F39="Challenger",D39&amp;" wins · no change",E39&amp;" stays at #"&amp;K39)))</f>
        <v/>
      </c>
      <c r="J39" s="0" t="str">
        <f aca="false">IFERROR(INDEX(Engine!$AI$7:$AI$26,MATCH(D39,Engine!$B$7:$B$26,0)),0)</f>
        <v/>
      </c>
      <c r="K39" s="0" t="str">
        <f aca="false">IFERROR(INDEX(Engine!$AI$7:$AI$26,MATCH(E39,Engine!$B$7:$B$26,0)),0)</f>
        <v/>
      </c>
      <c r="L39" s="19" t="n">
        <f aca="false">IF(AND(D39&lt;&gt;"",E39&lt;&gt;"",D39&lt;&gt;E39,F39="Challenger",J39&gt;0,K39&gt;0,J39&gt;K39),1,0)</f>
        <v>0</v>
      </c>
    </row>
    <row r="40" customFormat="false" ht="15" hidden="false" customHeight="false" outlineLevel="0" collapsed="false">
      <c r="B40" s="15" t="n">
        <v>34</v>
      </c>
      <c r="C40" s="29"/>
      <c r="D40" s="10"/>
      <c r="E40" s="10"/>
      <c r="F40" s="30"/>
      <c r="G40" s="30"/>
      <c r="H40" s="17" t="str">
        <f aca="false">IF(OR(D40="",E40="",F40=""),"",IF(L40=1,D40&amp;" moves up to #"&amp;K40,IF(F40="Challenger",D40&amp;" wins · no change",E40&amp;" stays at #"&amp;K40)))</f>
        <v/>
      </c>
      <c r="J40" s="0" t="str">
        <f aca="false">IFERROR(INDEX(Engine!$AJ$7:$AJ$26,MATCH(D40,Engine!$B$7:$B$26,0)),0)</f>
        <v/>
      </c>
      <c r="K40" s="0" t="str">
        <f aca="false">IFERROR(INDEX(Engine!$AJ$7:$AJ$26,MATCH(E40,Engine!$B$7:$B$26,0)),0)</f>
        <v/>
      </c>
      <c r="L40" s="19" t="n">
        <f aca="false">IF(AND(D40&lt;&gt;"",E40&lt;&gt;"",D40&lt;&gt;E40,F40="Challenger",J40&gt;0,K40&gt;0,J40&gt;K40),1,0)</f>
        <v>0</v>
      </c>
    </row>
    <row r="41" customFormat="false" ht="15" hidden="false" customHeight="false" outlineLevel="0" collapsed="false">
      <c r="B41" s="15" t="n">
        <v>35</v>
      </c>
      <c r="C41" s="29"/>
      <c r="D41" s="10"/>
      <c r="E41" s="10"/>
      <c r="F41" s="30"/>
      <c r="G41" s="30"/>
      <c r="H41" s="17" t="str">
        <f aca="false">IF(OR(D41="",E41="",F41=""),"",IF(L41=1,D41&amp;" moves up to #"&amp;K41,IF(F41="Challenger",D41&amp;" wins · no change",E41&amp;" stays at #"&amp;K41)))</f>
        <v/>
      </c>
      <c r="J41" s="0" t="str">
        <f aca="false">IFERROR(INDEX(Engine!$AK$7:$AK$26,MATCH(D41,Engine!$B$7:$B$26,0)),0)</f>
        <v/>
      </c>
      <c r="K41" s="0" t="str">
        <f aca="false">IFERROR(INDEX(Engine!$AK$7:$AK$26,MATCH(E41,Engine!$B$7:$B$26,0)),0)</f>
        <v/>
      </c>
      <c r="L41" s="19" t="n">
        <f aca="false">IF(AND(D41&lt;&gt;"",E41&lt;&gt;"",D41&lt;&gt;E41,F41="Challenger",J41&gt;0,K41&gt;0,J41&gt;K41),1,0)</f>
        <v>0</v>
      </c>
    </row>
    <row r="42" customFormat="false" ht="15" hidden="false" customHeight="false" outlineLevel="0" collapsed="false">
      <c r="B42" s="15" t="n">
        <v>36</v>
      </c>
      <c r="C42" s="29"/>
      <c r="D42" s="10"/>
      <c r="E42" s="10"/>
      <c r="F42" s="30"/>
      <c r="G42" s="30"/>
      <c r="H42" s="17" t="str">
        <f aca="false">IF(OR(D42="",E42="",F42=""),"",IF(L42=1,D42&amp;" moves up to #"&amp;K42,IF(F42="Challenger",D42&amp;" wins · no change",E42&amp;" stays at #"&amp;K42)))</f>
        <v/>
      </c>
      <c r="J42" s="0" t="str">
        <f aca="false">IFERROR(INDEX(Engine!$AL$7:$AL$26,MATCH(D42,Engine!$B$7:$B$26,0)),0)</f>
        <v/>
      </c>
      <c r="K42" s="0" t="str">
        <f aca="false">IFERROR(INDEX(Engine!$AL$7:$AL$26,MATCH(E42,Engine!$B$7:$B$26,0)),0)</f>
        <v/>
      </c>
      <c r="L42" s="19" t="n">
        <f aca="false">IF(AND(D42&lt;&gt;"",E42&lt;&gt;"",D42&lt;&gt;E42,F42="Challenger",J42&gt;0,K42&gt;0,J42&gt;K42),1,0)</f>
        <v>0</v>
      </c>
    </row>
    <row r="43" customFormat="false" ht="15" hidden="false" customHeight="false" outlineLevel="0" collapsed="false">
      <c r="B43" s="15" t="n">
        <v>37</v>
      </c>
      <c r="C43" s="29"/>
      <c r="D43" s="10"/>
      <c r="E43" s="10"/>
      <c r="F43" s="30"/>
      <c r="G43" s="30"/>
      <c r="H43" s="17" t="str">
        <f aca="false">IF(OR(D43="",E43="",F43=""),"",IF(L43=1,D43&amp;" moves up to #"&amp;K43,IF(F43="Challenger",D43&amp;" wins · no change",E43&amp;" stays at #"&amp;K43)))</f>
        <v/>
      </c>
      <c r="J43" s="0" t="str">
        <f aca="false">IFERROR(INDEX(Engine!$AM$7:$AM$26,MATCH(D43,Engine!$B$7:$B$26,0)),0)</f>
        <v/>
      </c>
      <c r="K43" s="0" t="str">
        <f aca="false">IFERROR(INDEX(Engine!$AM$7:$AM$26,MATCH(E43,Engine!$B$7:$B$26,0)),0)</f>
        <v/>
      </c>
      <c r="L43" s="19" t="n">
        <f aca="false">IF(AND(D43&lt;&gt;"",E43&lt;&gt;"",D43&lt;&gt;E43,F43="Challenger",J43&gt;0,K43&gt;0,J43&gt;K43),1,0)</f>
        <v>0</v>
      </c>
    </row>
    <row r="44" customFormat="false" ht="15" hidden="false" customHeight="false" outlineLevel="0" collapsed="false">
      <c r="B44" s="15" t="n">
        <v>38</v>
      </c>
      <c r="C44" s="29"/>
      <c r="D44" s="10"/>
      <c r="E44" s="10"/>
      <c r="F44" s="30"/>
      <c r="G44" s="30"/>
      <c r="H44" s="17" t="str">
        <f aca="false">IF(OR(D44="",E44="",F44=""),"",IF(L44=1,D44&amp;" moves up to #"&amp;K44,IF(F44="Challenger",D44&amp;" wins · no change",E44&amp;" stays at #"&amp;K44)))</f>
        <v/>
      </c>
      <c r="J44" s="0" t="str">
        <f aca="false">IFERROR(INDEX(Engine!$AN$7:$AN$26,MATCH(D44,Engine!$B$7:$B$26,0)),0)</f>
        <v/>
      </c>
      <c r="K44" s="0" t="str">
        <f aca="false">IFERROR(INDEX(Engine!$AN$7:$AN$26,MATCH(E44,Engine!$B$7:$B$26,0)),0)</f>
        <v/>
      </c>
      <c r="L44" s="19" t="n">
        <f aca="false">IF(AND(D44&lt;&gt;"",E44&lt;&gt;"",D44&lt;&gt;E44,F44="Challenger",J44&gt;0,K44&gt;0,J44&gt;K44),1,0)</f>
        <v>0</v>
      </c>
    </row>
    <row r="45" customFormat="false" ht="15" hidden="false" customHeight="false" outlineLevel="0" collapsed="false">
      <c r="B45" s="15" t="n">
        <v>39</v>
      </c>
      <c r="C45" s="29"/>
      <c r="D45" s="10"/>
      <c r="E45" s="10"/>
      <c r="F45" s="30"/>
      <c r="G45" s="30"/>
      <c r="H45" s="17" t="str">
        <f aca="false">IF(OR(D45="",E45="",F45=""),"",IF(L45=1,D45&amp;" moves up to #"&amp;K45,IF(F45="Challenger",D45&amp;" wins · no change",E45&amp;" stays at #"&amp;K45)))</f>
        <v/>
      </c>
      <c r="J45" s="0" t="str">
        <f aca="false">IFERROR(INDEX(Engine!$AO$7:$AO$26,MATCH(D45,Engine!$B$7:$B$26,0)),0)</f>
        <v/>
      </c>
      <c r="K45" s="0" t="str">
        <f aca="false">IFERROR(INDEX(Engine!$AO$7:$AO$26,MATCH(E45,Engine!$B$7:$B$26,0)),0)</f>
        <v/>
      </c>
      <c r="L45" s="19" t="n">
        <f aca="false">IF(AND(D45&lt;&gt;"",E45&lt;&gt;"",D45&lt;&gt;E45,F45="Challenger",J45&gt;0,K45&gt;0,J45&gt;K45),1,0)</f>
        <v>0</v>
      </c>
    </row>
    <row r="46" customFormat="false" ht="15" hidden="false" customHeight="false" outlineLevel="0" collapsed="false">
      <c r="B46" s="15" t="n">
        <v>40</v>
      </c>
      <c r="C46" s="29"/>
      <c r="D46" s="10"/>
      <c r="E46" s="10"/>
      <c r="F46" s="30"/>
      <c r="G46" s="30"/>
      <c r="H46" s="17" t="str">
        <f aca="false">IF(OR(D46="",E46="",F46=""),"",IF(L46=1,D46&amp;" moves up to #"&amp;K46,IF(F46="Challenger",D46&amp;" wins · no change",E46&amp;" stays at #"&amp;K46)))</f>
        <v/>
      </c>
      <c r="J46" s="0" t="str">
        <f aca="false">IFERROR(INDEX(Engine!$AP$7:$AP$26,MATCH(D46,Engine!$B$7:$B$26,0)),0)</f>
        <v/>
      </c>
      <c r="K46" s="0" t="str">
        <f aca="false">IFERROR(INDEX(Engine!$AP$7:$AP$26,MATCH(E46,Engine!$B$7:$B$26,0)),0)</f>
        <v/>
      </c>
      <c r="L46" s="19" t="n">
        <f aca="false">IF(AND(D46&lt;&gt;"",E46&lt;&gt;"",D46&lt;&gt;E46,F46="Challenger",J46&gt;0,K46&gt;0,J46&gt;K46),1,0)</f>
        <v>0</v>
      </c>
    </row>
    <row r="47" customFormat="false" ht="15" hidden="false" customHeight="false" outlineLevel="0" collapsed="false">
      <c r="B47" s="15" t="n">
        <v>41</v>
      </c>
      <c r="C47" s="29"/>
      <c r="D47" s="10"/>
      <c r="E47" s="10"/>
      <c r="F47" s="30"/>
      <c r="G47" s="30"/>
      <c r="H47" s="17" t="str">
        <f aca="false">IF(OR(D47="",E47="",F47=""),"",IF(L47=1,D47&amp;" moves up to #"&amp;K47,IF(F47="Challenger",D47&amp;" wins · no change",E47&amp;" stays at #"&amp;K47)))</f>
        <v/>
      </c>
      <c r="J47" s="0" t="str">
        <f aca="false">IFERROR(INDEX(Engine!$AQ$7:$AQ$26,MATCH(D47,Engine!$B$7:$B$26,0)),0)</f>
        <v/>
      </c>
      <c r="K47" s="0" t="str">
        <f aca="false">IFERROR(INDEX(Engine!$AQ$7:$AQ$26,MATCH(E47,Engine!$B$7:$B$26,0)),0)</f>
        <v/>
      </c>
      <c r="L47" s="19" t="n">
        <f aca="false">IF(AND(D47&lt;&gt;"",E47&lt;&gt;"",D47&lt;&gt;E47,F47="Challenger",J47&gt;0,K47&gt;0,J47&gt;K47),1,0)</f>
        <v>0</v>
      </c>
    </row>
    <row r="48" customFormat="false" ht="15" hidden="false" customHeight="false" outlineLevel="0" collapsed="false">
      <c r="B48" s="15" t="n">
        <v>42</v>
      </c>
      <c r="C48" s="29"/>
      <c r="D48" s="10"/>
      <c r="E48" s="10"/>
      <c r="F48" s="30"/>
      <c r="G48" s="30"/>
      <c r="H48" s="17" t="str">
        <f aca="false">IF(OR(D48="",E48="",F48=""),"",IF(L48=1,D48&amp;" moves up to #"&amp;K48,IF(F48="Challenger",D48&amp;" wins · no change",E48&amp;" stays at #"&amp;K48)))</f>
        <v/>
      </c>
      <c r="J48" s="0" t="str">
        <f aca="false">IFERROR(INDEX(Engine!$AR$7:$AR$26,MATCH(D48,Engine!$B$7:$B$26,0)),0)</f>
        <v/>
      </c>
      <c r="K48" s="0" t="str">
        <f aca="false">IFERROR(INDEX(Engine!$AR$7:$AR$26,MATCH(E48,Engine!$B$7:$B$26,0)),0)</f>
        <v/>
      </c>
      <c r="L48" s="19" t="n">
        <f aca="false">IF(AND(D48&lt;&gt;"",E48&lt;&gt;"",D48&lt;&gt;E48,F48="Challenger",J48&gt;0,K48&gt;0,J48&gt;K48),1,0)</f>
        <v>0</v>
      </c>
    </row>
    <row r="49" customFormat="false" ht="15" hidden="false" customHeight="false" outlineLevel="0" collapsed="false">
      <c r="B49" s="15" t="n">
        <v>43</v>
      </c>
      <c r="C49" s="29"/>
      <c r="D49" s="10"/>
      <c r="E49" s="10"/>
      <c r="F49" s="30"/>
      <c r="G49" s="30"/>
      <c r="H49" s="17" t="str">
        <f aca="false">IF(OR(D49="",E49="",F49=""),"",IF(L49=1,D49&amp;" moves up to #"&amp;K49,IF(F49="Challenger",D49&amp;" wins · no change",E49&amp;" stays at #"&amp;K49)))</f>
        <v/>
      </c>
      <c r="J49" s="0" t="str">
        <f aca="false">IFERROR(INDEX(Engine!$AS$7:$AS$26,MATCH(D49,Engine!$B$7:$B$26,0)),0)</f>
        <v/>
      </c>
      <c r="K49" s="0" t="str">
        <f aca="false">IFERROR(INDEX(Engine!$AS$7:$AS$26,MATCH(E49,Engine!$B$7:$B$26,0)),0)</f>
        <v/>
      </c>
      <c r="L49" s="19" t="n">
        <f aca="false">IF(AND(D49&lt;&gt;"",E49&lt;&gt;"",D49&lt;&gt;E49,F49="Challenger",J49&gt;0,K49&gt;0,J49&gt;K49),1,0)</f>
        <v>0</v>
      </c>
    </row>
    <row r="50" customFormat="false" ht="15" hidden="false" customHeight="false" outlineLevel="0" collapsed="false">
      <c r="B50" s="15" t="n">
        <v>44</v>
      </c>
      <c r="C50" s="29"/>
      <c r="D50" s="10"/>
      <c r="E50" s="10"/>
      <c r="F50" s="30"/>
      <c r="G50" s="30"/>
      <c r="H50" s="17" t="str">
        <f aca="false">IF(OR(D50="",E50="",F50=""),"",IF(L50=1,D50&amp;" moves up to #"&amp;K50,IF(F50="Challenger",D50&amp;" wins · no change",E50&amp;" stays at #"&amp;K50)))</f>
        <v/>
      </c>
      <c r="J50" s="0" t="str">
        <f aca="false">IFERROR(INDEX(Engine!$AT$7:$AT$26,MATCH(D50,Engine!$B$7:$B$26,0)),0)</f>
        <v/>
      </c>
      <c r="K50" s="0" t="str">
        <f aca="false">IFERROR(INDEX(Engine!$AT$7:$AT$26,MATCH(E50,Engine!$B$7:$B$26,0)),0)</f>
        <v/>
      </c>
      <c r="L50" s="19" t="n">
        <f aca="false">IF(AND(D50&lt;&gt;"",E50&lt;&gt;"",D50&lt;&gt;E50,F50="Challenger",J50&gt;0,K50&gt;0,J50&gt;K50),1,0)</f>
        <v>0</v>
      </c>
    </row>
    <row r="51" customFormat="false" ht="15" hidden="false" customHeight="false" outlineLevel="0" collapsed="false">
      <c r="B51" s="15" t="n">
        <v>45</v>
      </c>
      <c r="C51" s="29"/>
      <c r="D51" s="10"/>
      <c r="E51" s="10"/>
      <c r="F51" s="30"/>
      <c r="G51" s="30"/>
      <c r="H51" s="17" t="str">
        <f aca="false">IF(OR(D51="",E51="",F51=""),"",IF(L51=1,D51&amp;" moves up to #"&amp;K51,IF(F51="Challenger",D51&amp;" wins · no change",E51&amp;" stays at #"&amp;K51)))</f>
        <v/>
      </c>
      <c r="J51" s="0" t="str">
        <f aca="false">IFERROR(INDEX(Engine!$AU$7:$AU$26,MATCH(D51,Engine!$B$7:$B$26,0)),0)</f>
        <v/>
      </c>
      <c r="K51" s="0" t="str">
        <f aca="false">IFERROR(INDEX(Engine!$AU$7:$AU$26,MATCH(E51,Engine!$B$7:$B$26,0)),0)</f>
        <v/>
      </c>
      <c r="L51" s="19" t="n">
        <f aca="false">IF(AND(D51&lt;&gt;"",E51&lt;&gt;"",D51&lt;&gt;E51,F51="Challenger",J51&gt;0,K51&gt;0,J51&gt;K51),1,0)</f>
        <v>0</v>
      </c>
    </row>
    <row r="52" customFormat="false" ht="15" hidden="false" customHeight="false" outlineLevel="0" collapsed="false">
      <c r="B52" s="15" t="n">
        <v>46</v>
      </c>
      <c r="C52" s="29"/>
      <c r="D52" s="10"/>
      <c r="E52" s="10"/>
      <c r="F52" s="30"/>
      <c r="G52" s="30"/>
      <c r="H52" s="17" t="str">
        <f aca="false">IF(OR(D52="",E52="",F52=""),"",IF(L52=1,D52&amp;" moves up to #"&amp;K52,IF(F52="Challenger",D52&amp;" wins · no change",E52&amp;" stays at #"&amp;K52)))</f>
        <v/>
      </c>
      <c r="J52" s="0" t="str">
        <f aca="false">IFERROR(INDEX(Engine!$AV$7:$AV$26,MATCH(D52,Engine!$B$7:$B$26,0)),0)</f>
        <v/>
      </c>
      <c r="K52" s="0" t="str">
        <f aca="false">IFERROR(INDEX(Engine!$AV$7:$AV$26,MATCH(E52,Engine!$B$7:$B$26,0)),0)</f>
        <v/>
      </c>
      <c r="L52" s="19" t="n">
        <f aca="false">IF(AND(D52&lt;&gt;"",E52&lt;&gt;"",D52&lt;&gt;E52,F52="Challenger",J52&gt;0,K52&gt;0,J52&gt;K52),1,0)</f>
        <v>0</v>
      </c>
    </row>
    <row r="53" customFormat="false" ht="15" hidden="false" customHeight="false" outlineLevel="0" collapsed="false">
      <c r="B53" s="15" t="n">
        <v>47</v>
      </c>
      <c r="C53" s="29"/>
      <c r="D53" s="10"/>
      <c r="E53" s="10"/>
      <c r="F53" s="30"/>
      <c r="G53" s="30"/>
      <c r="H53" s="17" t="str">
        <f aca="false">IF(OR(D53="",E53="",F53=""),"",IF(L53=1,D53&amp;" moves up to #"&amp;K53,IF(F53="Challenger",D53&amp;" wins · no change",E53&amp;" stays at #"&amp;K53)))</f>
        <v/>
      </c>
      <c r="J53" s="0" t="str">
        <f aca="false">IFERROR(INDEX(Engine!$AW$7:$AW$26,MATCH(D53,Engine!$B$7:$B$26,0)),0)</f>
        <v/>
      </c>
      <c r="K53" s="0" t="str">
        <f aca="false">IFERROR(INDEX(Engine!$AW$7:$AW$26,MATCH(E53,Engine!$B$7:$B$26,0)),0)</f>
        <v/>
      </c>
      <c r="L53" s="19" t="n">
        <f aca="false">IF(AND(D53&lt;&gt;"",E53&lt;&gt;"",D53&lt;&gt;E53,F53="Challenger",J53&gt;0,K53&gt;0,J53&gt;K53),1,0)</f>
        <v>0</v>
      </c>
    </row>
    <row r="54" customFormat="false" ht="15" hidden="false" customHeight="false" outlineLevel="0" collapsed="false">
      <c r="B54" s="15" t="n">
        <v>48</v>
      </c>
      <c r="C54" s="29"/>
      <c r="D54" s="10"/>
      <c r="E54" s="10"/>
      <c r="F54" s="30"/>
      <c r="G54" s="30"/>
      <c r="H54" s="17" t="str">
        <f aca="false">IF(OR(D54="",E54="",F54=""),"",IF(L54=1,D54&amp;" moves up to #"&amp;K54,IF(F54="Challenger",D54&amp;" wins · no change",E54&amp;" stays at #"&amp;K54)))</f>
        <v/>
      </c>
      <c r="J54" s="0" t="str">
        <f aca="false">IFERROR(INDEX(Engine!$AX$7:$AX$26,MATCH(D54,Engine!$B$7:$B$26,0)),0)</f>
        <v/>
      </c>
      <c r="K54" s="0" t="str">
        <f aca="false">IFERROR(INDEX(Engine!$AX$7:$AX$26,MATCH(E54,Engine!$B$7:$B$26,0)),0)</f>
        <v/>
      </c>
      <c r="L54" s="19" t="n">
        <f aca="false">IF(AND(D54&lt;&gt;"",E54&lt;&gt;"",D54&lt;&gt;E54,F54="Challenger",J54&gt;0,K54&gt;0,J54&gt;K54),1,0)</f>
        <v>0</v>
      </c>
    </row>
    <row r="55" customFormat="false" ht="15" hidden="false" customHeight="false" outlineLevel="0" collapsed="false">
      <c r="B55" s="15" t="n">
        <v>49</v>
      </c>
      <c r="C55" s="29"/>
      <c r="D55" s="10"/>
      <c r="E55" s="10"/>
      <c r="F55" s="30"/>
      <c r="G55" s="30"/>
      <c r="H55" s="17" t="str">
        <f aca="false">IF(OR(D55="",E55="",F55=""),"",IF(L55=1,D55&amp;" moves up to #"&amp;K55,IF(F55="Challenger",D55&amp;" wins · no change",E55&amp;" stays at #"&amp;K55)))</f>
        <v/>
      </c>
      <c r="J55" s="0" t="str">
        <f aca="false">IFERROR(INDEX(Engine!$AY$7:$AY$26,MATCH(D55,Engine!$B$7:$B$26,0)),0)</f>
        <v/>
      </c>
      <c r="K55" s="0" t="str">
        <f aca="false">IFERROR(INDEX(Engine!$AY$7:$AY$26,MATCH(E55,Engine!$B$7:$B$26,0)),0)</f>
        <v/>
      </c>
      <c r="L55" s="19" t="n">
        <f aca="false">IF(AND(D55&lt;&gt;"",E55&lt;&gt;"",D55&lt;&gt;E55,F55="Challenger",J55&gt;0,K55&gt;0,J55&gt;K55),1,0)</f>
        <v>0</v>
      </c>
    </row>
    <row r="56" customFormat="false" ht="15" hidden="false" customHeight="false" outlineLevel="0" collapsed="false">
      <c r="B56" s="15" t="n">
        <v>50</v>
      </c>
      <c r="C56" s="29"/>
      <c r="D56" s="10"/>
      <c r="E56" s="10"/>
      <c r="F56" s="30"/>
      <c r="G56" s="30"/>
      <c r="H56" s="17" t="str">
        <f aca="false">IF(OR(D56="",E56="",F56=""),"",IF(L56=1,D56&amp;" moves up to #"&amp;K56,IF(F56="Challenger",D56&amp;" wins · no change",E56&amp;" stays at #"&amp;K56)))</f>
        <v/>
      </c>
      <c r="J56" s="0" t="str">
        <f aca="false">IFERROR(INDEX(Engine!$AZ$7:$AZ$26,MATCH(D56,Engine!$B$7:$B$26,0)),0)</f>
        <v/>
      </c>
      <c r="K56" s="0" t="str">
        <f aca="false">IFERROR(INDEX(Engine!$AZ$7:$AZ$26,MATCH(E56,Engine!$B$7:$B$26,0)),0)</f>
        <v/>
      </c>
      <c r="L56" s="19" t="n">
        <f aca="false">IF(AND(D56&lt;&gt;"",E56&lt;&gt;"",D56&lt;&gt;E56,F56="Challenger",J56&gt;0,K56&gt;0,J56&gt;K56),1,0)</f>
        <v>0</v>
      </c>
    </row>
    <row r="57" customFormat="false" ht="15" hidden="false" customHeight="false" outlineLevel="0" collapsed="false">
      <c r="B57" s="15" t="n">
        <v>51</v>
      </c>
      <c r="C57" s="29"/>
      <c r="D57" s="10"/>
      <c r="E57" s="10"/>
      <c r="F57" s="30"/>
      <c r="G57" s="30"/>
      <c r="H57" s="17" t="str">
        <f aca="false">IF(OR(D57="",E57="",F57=""),"",IF(L57=1,D57&amp;" moves up to #"&amp;K57,IF(F57="Challenger",D57&amp;" wins · no change",E57&amp;" stays at #"&amp;K57)))</f>
        <v/>
      </c>
      <c r="J57" s="0" t="str">
        <f aca="false">IFERROR(INDEX(Engine!$BA$7:$BA$26,MATCH(D57,Engine!$B$7:$B$26,0)),0)</f>
        <v/>
      </c>
      <c r="K57" s="0" t="str">
        <f aca="false">IFERROR(INDEX(Engine!$BA$7:$BA$26,MATCH(E57,Engine!$B$7:$B$26,0)),0)</f>
        <v/>
      </c>
      <c r="L57" s="19" t="n">
        <f aca="false">IF(AND(D57&lt;&gt;"",E57&lt;&gt;"",D57&lt;&gt;E57,F57="Challenger",J57&gt;0,K57&gt;0,J57&gt;K57),1,0)</f>
        <v>0</v>
      </c>
    </row>
    <row r="58" customFormat="false" ht="15" hidden="false" customHeight="false" outlineLevel="0" collapsed="false">
      <c r="B58" s="15" t="n">
        <v>52</v>
      </c>
      <c r="C58" s="29"/>
      <c r="D58" s="10"/>
      <c r="E58" s="10"/>
      <c r="F58" s="30"/>
      <c r="G58" s="30"/>
      <c r="H58" s="17" t="str">
        <f aca="false">IF(OR(D58="",E58="",F58=""),"",IF(L58=1,D58&amp;" moves up to #"&amp;K58,IF(F58="Challenger",D58&amp;" wins · no change",E58&amp;" stays at #"&amp;K58)))</f>
        <v/>
      </c>
      <c r="J58" s="0" t="str">
        <f aca="false">IFERROR(INDEX(Engine!$BB$7:$BB$26,MATCH(D58,Engine!$B$7:$B$26,0)),0)</f>
        <v/>
      </c>
      <c r="K58" s="0" t="str">
        <f aca="false">IFERROR(INDEX(Engine!$BB$7:$BB$26,MATCH(E58,Engine!$B$7:$B$26,0)),0)</f>
        <v/>
      </c>
      <c r="L58" s="19" t="n">
        <f aca="false">IF(AND(D58&lt;&gt;"",E58&lt;&gt;"",D58&lt;&gt;E58,F58="Challenger",J58&gt;0,K58&gt;0,J58&gt;K58),1,0)</f>
        <v>0</v>
      </c>
    </row>
    <row r="59" customFormat="false" ht="15" hidden="false" customHeight="false" outlineLevel="0" collapsed="false">
      <c r="B59" s="15" t="n">
        <v>53</v>
      </c>
      <c r="C59" s="29"/>
      <c r="D59" s="10"/>
      <c r="E59" s="10"/>
      <c r="F59" s="30"/>
      <c r="G59" s="30"/>
      <c r="H59" s="17" t="str">
        <f aca="false">IF(OR(D59="",E59="",F59=""),"",IF(L59=1,D59&amp;" moves up to #"&amp;K59,IF(F59="Challenger",D59&amp;" wins · no change",E59&amp;" stays at #"&amp;K59)))</f>
        <v/>
      </c>
      <c r="J59" s="0" t="str">
        <f aca="false">IFERROR(INDEX(Engine!$BC$7:$BC$26,MATCH(D59,Engine!$B$7:$B$26,0)),0)</f>
        <v/>
      </c>
      <c r="K59" s="0" t="str">
        <f aca="false">IFERROR(INDEX(Engine!$BC$7:$BC$26,MATCH(E59,Engine!$B$7:$B$26,0)),0)</f>
        <v/>
      </c>
      <c r="L59" s="19" t="n">
        <f aca="false">IF(AND(D59&lt;&gt;"",E59&lt;&gt;"",D59&lt;&gt;E59,F59="Challenger",J59&gt;0,K59&gt;0,J59&gt;K59),1,0)</f>
        <v>0</v>
      </c>
    </row>
    <row r="60" customFormat="false" ht="15" hidden="false" customHeight="false" outlineLevel="0" collapsed="false">
      <c r="B60" s="15" t="n">
        <v>54</v>
      </c>
      <c r="C60" s="29"/>
      <c r="D60" s="10"/>
      <c r="E60" s="10"/>
      <c r="F60" s="30"/>
      <c r="G60" s="30"/>
      <c r="H60" s="17" t="str">
        <f aca="false">IF(OR(D60="",E60="",F60=""),"",IF(L60=1,D60&amp;" moves up to #"&amp;K60,IF(F60="Challenger",D60&amp;" wins · no change",E60&amp;" stays at #"&amp;K60)))</f>
        <v/>
      </c>
      <c r="J60" s="0" t="str">
        <f aca="false">IFERROR(INDEX(Engine!$BD$7:$BD$26,MATCH(D60,Engine!$B$7:$B$26,0)),0)</f>
        <v/>
      </c>
      <c r="K60" s="0" t="str">
        <f aca="false">IFERROR(INDEX(Engine!$BD$7:$BD$26,MATCH(E60,Engine!$B$7:$B$26,0)),0)</f>
        <v/>
      </c>
      <c r="L60" s="19" t="n">
        <f aca="false">IF(AND(D60&lt;&gt;"",E60&lt;&gt;"",D60&lt;&gt;E60,F60="Challenger",J60&gt;0,K60&gt;0,J60&gt;K60),1,0)</f>
        <v>0</v>
      </c>
    </row>
    <row r="61" customFormat="false" ht="15" hidden="false" customHeight="false" outlineLevel="0" collapsed="false">
      <c r="B61" s="15" t="n">
        <v>55</v>
      </c>
      <c r="C61" s="29"/>
      <c r="D61" s="10"/>
      <c r="E61" s="10"/>
      <c r="F61" s="30"/>
      <c r="G61" s="30"/>
      <c r="H61" s="17" t="str">
        <f aca="false">IF(OR(D61="",E61="",F61=""),"",IF(L61=1,D61&amp;" moves up to #"&amp;K61,IF(F61="Challenger",D61&amp;" wins · no change",E61&amp;" stays at #"&amp;K61)))</f>
        <v/>
      </c>
      <c r="J61" s="0" t="str">
        <f aca="false">IFERROR(INDEX(Engine!$BE$7:$BE$26,MATCH(D61,Engine!$B$7:$B$26,0)),0)</f>
        <v/>
      </c>
      <c r="K61" s="0" t="str">
        <f aca="false">IFERROR(INDEX(Engine!$BE$7:$BE$26,MATCH(E61,Engine!$B$7:$B$26,0)),0)</f>
        <v/>
      </c>
      <c r="L61" s="19" t="n">
        <f aca="false">IF(AND(D61&lt;&gt;"",E61&lt;&gt;"",D61&lt;&gt;E61,F61="Challenger",J61&gt;0,K61&gt;0,J61&gt;K61),1,0)</f>
        <v>0</v>
      </c>
    </row>
    <row r="62" customFormat="false" ht="15" hidden="false" customHeight="false" outlineLevel="0" collapsed="false">
      <c r="B62" s="15" t="n">
        <v>56</v>
      </c>
      <c r="C62" s="29"/>
      <c r="D62" s="10"/>
      <c r="E62" s="10"/>
      <c r="F62" s="30"/>
      <c r="G62" s="30"/>
      <c r="H62" s="17" t="str">
        <f aca="false">IF(OR(D62="",E62="",F62=""),"",IF(L62=1,D62&amp;" moves up to #"&amp;K62,IF(F62="Challenger",D62&amp;" wins · no change",E62&amp;" stays at #"&amp;K62)))</f>
        <v/>
      </c>
      <c r="J62" s="0" t="str">
        <f aca="false">IFERROR(INDEX(Engine!$BF$7:$BF$26,MATCH(D62,Engine!$B$7:$B$26,0)),0)</f>
        <v/>
      </c>
      <c r="K62" s="0" t="str">
        <f aca="false">IFERROR(INDEX(Engine!$BF$7:$BF$26,MATCH(E62,Engine!$B$7:$B$26,0)),0)</f>
        <v/>
      </c>
      <c r="L62" s="19" t="n">
        <f aca="false">IF(AND(D62&lt;&gt;"",E62&lt;&gt;"",D62&lt;&gt;E62,F62="Challenger",J62&gt;0,K62&gt;0,J62&gt;K62),1,0)</f>
        <v>0</v>
      </c>
    </row>
    <row r="63" customFormat="false" ht="15" hidden="false" customHeight="false" outlineLevel="0" collapsed="false">
      <c r="B63" s="15" t="n">
        <v>57</v>
      </c>
      <c r="C63" s="29"/>
      <c r="D63" s="10"/>
      <c r="E63" s="10"/>
      <c r="F63" s="30"/>
      <c r="G63" s="30"/>
      <c r="H63" s="17" t="str">
        <f aca="false">IF(OR(D63="",E63="",F63=""),"",IF(L63=1,D63&amp;" moves up to #"&amp;K63,IF(F63="Challenger",D63&amp;" wins · no change",E63&amp;" stays at #"&amp;K63)))</f>
        <v/>
      </c>
      <c r="J63" s="0" t="str">
        <f aca="false">IFERROR(INDEX(Engine!$BG$7:$BG$26,MATCH(D63,Engine!$B$7:$B$26,0)),0)</f>
        <v/>
      </c>
      <c r="K63" s="0" t="str">
        <f aca="false">IFERROR(INDEX(Engine!$BG$7:$BG$26,MATCH(E63,Engine!$B$7:$B$26,0)),0)</f>
        <v/>
      </c>
      <c r="L63" s="19" t="n">
        <f aca="false">IF(AND(D63&lt;&gt;"",E63&lt;&gt;"",D63&lt;&gt;E63,F63="Challenger",J63&gt;0,K63&gt;0,J63&gt;K63),1,0)</f>
        <v>0</v>
      </c>
    </row>
    <row r="64" customFormat="false" ht="15" hidden="false" customHeight="false" outlineLevel="0" collapsed="false">
      <c r="B64" s="15" t="n">
        <v>58</v>
      </c>
      <c r="C64" s="29"/>
      <c r="D64" s="10"/>
      <c r="E64" s="10"/>
      <c r="F64" s="30"/>
      <c r="G64" s="30"/>
      <c r="H64" s="17" t="str">
        <f aca="false">IF(OR(D64="",E64="",F64=""),"",IF(L64=1,D64&amp;" moves up to #"&amp;K64,IF(F64="Challenger",D64&amp;" wins · no change",E64&amp;" stays at #"&amp;K64)))</f>
        <v/>
      </c>
      <c r="J64" s="0" t="str">
        <f aca="false">IFERROR(INDEX(Engine!$BH$7:$BH$26,MATCH(D64,Engine!$B$7:$B$26,0)),0)</f>
        <v/>
      </c>
      <c r="K64" s="0" t="str">
        <f aca="false">IFERROR(INDEX(Engine!$BH$7:$BH$26,MATCH(E64,Engine!$B$7:$B$26,0)),0)</f>
        <v/>
      </c>
      <c r="L64" s="19" t="n">
        <f aca="false">IF(AND(D64&lt;&gt;"",E64&lt;&gt;"",D64&lt;&gt;E64,F64="Challenger",J64&gt;0,K64&gt;0,J64&gt;K64),1,0)</f>
        <v>0</v>
      </c>
    </row>
    <row r="65" customFormat="false" ht="15" hidden="false" customHeight="false" outlineLevel="0" collapsed="false">
      <c r="B65" s="15" t="n">
        <v>59</v>
      </c>
      <c r="C65" s="29"/>
      <c r="D65" s="10"/>
      <c r="E65" s="10"/>
      <c r="F65" s="30"/>
      <c r="G65" s="30"/>
      <c r="H65" s="17" t="str">
        <f aca="false">IF(OR(D65="",E65="",F65=""),"",IF(L65=1,D65&amp;" moves up to #"&amp;K65,IF(F65="Challenger",D65&amp;" wins · no change",E65&amp;" stays at #"&amp;K65)))</f>
        <v/>
      </c>
      <c r="J65" s="0" t="str">
        <f aca="false">IFERROR(INDEX(Engine!$BI$7:$BI$26,MATCH(D65,Engine!$B$7:$B$26,0)),0)</f>
        <v/>
      </c>
      <c r="K65" s="0" t="str">
        <f aca="false">IFERROR(INDEX(Engine!$BI$7:$BI$26,MATCH(E65,Engine!$B$7:$B$26,0)),0)</f>
        <v/>
      </c>
      <c r="L65" s="19" t="n">
        <f aca="false">IF(AND(D65&lt;&gt;"",E65&lt;&gt;"",D65&lt;&gt;E65,F65="Challenger",J65&gt;0,K65&gt;0,J65&gt;K65),1,0)</f>
        <v>0</v>
      </c>
    </row>
    <row r="66" customFormat="false" ht="15" hidden="false" customHeight="false" outlineLevel="0" collapsed="false">
      <c r="B66" s="15" t="n">
        <v>60</v>
      </c>
      <c r="C66" s="29"/>
      <c r="D66" s="10"/>
      <c r="E66" s="10"/>
      <c r="F66" s="30"/>
      <c r="G66" s="30"/>
      <c r="H66" s="17" t="str">
        <f aca="false">IF(OR(D66="",E66="",F66=""),"",IF(L66=1,D66&amp;" moves up to #"&amp;K66,IF(F66="Challenger",D66&amp;" wins · no change",E66&amp;" stays at #"&amp;K66)))</f>
        <v/>
      </c>
      <c r="J66" s="0" t="str">
        <f aca="false">IFERROR(INDEX(Engine!$BJ$7:$BJ$26,MATCH(D66,Engine!$B$7:$B$26,0)),0)</f>
        <v/>
      </c>
      <c r="K66" s="0" t="str">
        <f aca="false">IFERROR(INDEX(Engine!$BJ$7:$BJ$26,MATCH(E66,Engine!$B$7:$B$26,0)),0)</f>
        <v/>
      </c>
      <c r="L66" s="19" t="n">
        <f aca="false">IF(AND(D66&lt;&gt;"",E66&lt;&gt;"",D66&lt;&gt;E66,F66="Challenger",J66&gt;0,K66&gt;0,J66&gt;K66),1,0)</f>
        <v>0</v>
      </c>
    </row>
    <row r="67" customFormat="false" ht="15" hidden="false" customHeight="false" outlineLevel="0" collapsed="false">
      <c r="B67" s="15" t="n">
        <v>61</v>
      </c>
      <c r="C67" s="29"/>
      <c r="D67" s="10"/>
      <c r="E67" s="10"/>
      <c r="F67" s="30"/>
      <c r="G67" s="30"/>
      <c r="H67" s="17" t="str">
        <f aca="false">IF(OR(D67="",E67="",F67=""),"",IF(L67=1,D67&amp;" moves up to #"&amp;K67,IF(F67="Challenger",D67&amp;" wins · no change",E67&amp;" stays at #"&amp;K67)))</f>
        <v/>
      </c>
      <c r="J67" s="0" t="str">
        <f aca="false">IFERROR(INDEX(Engine!$BK$7:$BK$26,MATCH(D67,Engine!$B$7:$B$26,0)),0)</f>
        <v/>
      </c>
      <c r="K67" s="0" t="str">
        <f aca="false">IFERROR(INDEX(Engine!$BK$7:$BK$26,MATCH(E67,Engine!$B$7:$B$26,0)),0)</f>
        <v/>
      </c>
      <c r="L67" s="19" t="n">
        <f aca="false">IF(AND(D67&lt;&gt;"",E67&lt;&gt;"",D67&lt;&gt;E67,F67="Challenger",J67&gt;0,K67&gt;0,J67&gt;K67),1,0)</f>
        <v>0</v>
      </c>
    </row>
    <row r="68" customFormat="false" ht="15" hidden="false" customHeight="false" outlineLevel="0" collapsed="false">
      <c r="B68" s="15" t="n">
        <v>62</v>
      </c>
      <c r="C68" s="29"/>
      <c r="D68" s="10"/>
      <c r="E68" s="10"/>
      <c r="F68" s="30"/>
      <c r="G68" s="30"/>
      <c r="H68" s="17" t="str">
        <f aca="false">IF(OR(D68="",E68="",F68=""),"",IF(L68=1,D68&amp;" moves up to #"&amp;K68,IF(F68="Challenger",D68&amp;" wins · no change",E68&amp;" stays at #"&amp;K68)))</f>
        <v/>
      </c>
      <c r="J68" s="0" t="str">
        <f aca="false">IFERROR(INDEX(Engine!$BL$7:$BL$26,MATCH(D68,Engine!$B$7:$B$26,0)),0)</f>
        <v/>
      </c>
      <c r="K68" s="0" t="str">
        <f aca="false">IFERROR(INDEX(Engine!$BL$7:$BL$26,MATCH(E68,Engine!$B$7:$B$26,0)),0)</f>
        <v/>
      </c>
      <c r="L68" s="19" t="n">
        <f aca="false">IF(AND(D68&lt;&gt;"",E68&lt;&gt;"",D68&lt;&gt;E68,F68="Challenger",J68&gt;0,K68&gt;0,J68&gt;K68),1,0)</f>
        <v>0</v>
      </c>
    </row>
    <row r="69" customFormat="false" ht="15" hidden="false" customHeight="false" outlineLevel="0" collapsed="false">
      <c r="B69" s="15" t="n">
        <v>63</v>
      </c>
      <c r="C69" s="29"/>
      <c r="D69" s="10"/>
      <c r="E69" s="10"/>
      <c r="F69" s="30"/>
      <c r="G69" s="30"/>
      <c r="H69" s="17" t="str">
        <f aca="false">IF(OR(D69="",E69="",F69=""),"",IF(L69=1,D69&amp;" moves up to #"&amp;K69,IF(F69="Challenger",D69&amp;" wins · no change",E69&amp;" stays at #"&amp;K69)))</f>
        <v/>
      </c>
      <c r="J69" s="0" t="str">
        <f aca="false">IFERROR(INDEX(Engine!$BM$7:$BM$26,MATCH(D69,Engine!$B$7:$B$26,0)),0)</f>
        <v/>
      </c>
      <c r="K69" s="0" t="str">
        <f aca="false">IFERROR(INDEX(Engine!$BM$7:$BM$26,MATCH(E69,Engine!$B$7:$B$26,0)),0)</f>
        <v/>
      </c>
      <c r="L69" s="19" t="n">
        <f aca="false">IF(AND(D69&lt;&gt;"",E69&lt;&gt;"",D69&lt;&gt;E69,F69="Challenger",J69&gt;0,K69&gt;0,J69&gt;K69),1,0)</f>
        <v>0</v>
      </c>
    </row>
    <row r="70" customFormat="false" ht="15" hidden="false" customHeight="false" outlineLevel="0" collapsed="false">
      <c r="B70" s="15" t="n">
        <v>64</v>
      </c>
      <c r="C70" s="29"/>
      <c r="D70" s="10"/>
      <c r="E70" s="10"/>
      <c r="F70" s="30"/>
      <c r="G70" s="30"/>
      <c r="H70" s="17" t="str">
        <f aca="false">IF(OR(D70="",E70="",F70=""),"",IF(L70=1,D70&amp;" moves up to #"&amp;K70,IF(F70="Challenger",D70&amp;" wins · no change",E70&amp;" stays at #"&amp;K70)))</f>
        <v/>
      </c>
      <c r="J70" s="0" t="str">
        <f aca="false">IFERROR(INDEX(Engine!$BN$7:$BN$26,MATCH(D70,Engine!$B$7:$B$26,0)),0)</f>
        <v/>
      </c>
      <c r="K70" s="0" t="str">
        <f aca="false">IFERROR(INDEX(Engine!$BN$7:$BN$26,MATCH(E70,Engine!$B$7:$B$26,0)),0)</f>
        <v/>
      </c>
      <c r="L70" s="19" t="n">
        <f aca="false">IF(AND(D70&lt;&gt;"",E70&lt;&gt;"",D70&lt;&gt;E70,F70="Challenger",J70&gt;0,K70&gt;0,J70&gt;K70),1,0)</f>
        <v>0</v>
      </c>
    </row>
    <row r="71" customFormat="false" ht="15" hidden="false" customHeight="false" outlineLevel="0" collapsed="false">
      <c r="B71" s="15" t="n">
        <v>65</v>
      </c>
      <c r="C71" s="29"/>
      <c r="D71" s="10"/>
      <c r="E71" s="10"/>
      <c r="F71" s="30"/>
      <c r="G71" s="30"/>
      <c r="H71" s="17" t="str">
        <f aca="false">IF(OR(D71="",E71="",F71=""),"",IF(L71=1,D71&amp;" moves up to #"&amp;K71,IF(F71="Challenger",D71&amp;" wins · no change",E71&amp;" stays at #"&amp;K71)))</f>
        <v/>
      </c>
      <c r="J71" s="0" t="str">
        <f aca="false">IFERROR(INDEX(Engine!$BO$7:$BO$26,MATCH(D71,Engine!$B$7:$B$26,0)),0)</f>
        <v/>
      </c>
      <c r="K71" s="0" t="str">
        <f aca="false">IFERROR(INDEX(Engine!$BO$7:$BO$26,MATCH(E71,Engine!$B$7:$B$26,0)),0)</f>
        <v/>
      </c>
      <c r="L71" s="19" t="n">
        <f aca="false">IF(AND(D71&lt;&gt;"",E71&lt;&gt;"",D71&lt;&gt;E71,F71="Challenger",J71&gt;0,K71&gt;0,J71&gt;K71),1,0)</f>
        <v>0</v>
      </c>
    </row>
    <row r="72" customFormat="false" ht="15" hidden="false" customHeight="false" outlineLevel="0" collapsed="false">
      <c r="B72" s="15" t="n">
        <v>66</v>
      </c>
      <c r="C72" s="29"/>
      <c r="D72" s="10"/>
      <c r="E72" s="10"/>
      <c r="F72" s="30"/>
      <c r="G72" s="30"/>
      <c r="H72" s="17" t="str">
        <f aca="false">IF(OR(D72="",E72="",F72=""),"",IF(L72=1,D72&amp;" moves up to #"&amp;K72,IF(F72="Challenger",D72&amp;" wins · no change",E72&amp;" stays at #"&amp;K72)))</f>
        <v/>
      </c>
      <c r="J72" s="0" t="str">
        <f aca="false">IFERROR(INDEX(Engine!$BP$7:$BP$26,MATCH(D72,Engine!$B$7:$B$26,0)),0)</f>
        <v/>
      </c>
      <c r="K72" s="0" t="str">
        <f aca="false">IFERROR(INDEX(Engine!$BP$7:$BP$26,MATCH(E72,Engine!$B$7:$B$26,0)),0)</f>
        <v/>
      </c>
      <c r="L72" s="19" t="n">
        <f aca="false">IF(AND(D72&lt;&gt;"",E72&lt;&gt;"",D72&lt;&gt;E72,F72="Challenger",J72&gt;0,K72&gt;0,J72&gt;K72),1,0)</f>
        <v>0</v>
      </c>
    </row>
    <row r="73" customFormat="false" ht="15" hidden="false" customHeight="false" outlineLevel="0" collapsed="false">
      <c r="B73" s="15" t="n">
        <v>67</v>
      </c>
      <c r="C73" s="29"/>
      <c r="D73" s="10"/>
      <c r="E73" s="10"/>
      <c r="F73" s="30"/>
      <c r="G73" s="30"/>
      <c r="H73" s="17" t="str">
        <f aca="false">IF(OR(D73="",E73="",F73=""),"",IF(L73=1,D73&amp;" moves up to #"&amp;K73,IF(F73="Challenger",D73&amp;" wins · no change",E73&amp;" stays at #"&amp;K73)))</f>
        <v/>
      </c>
      <c r="J73" s="0" t="str">
        <f aca="false">IFERROR(INDEX(Engine!$BQ$7:$BQ$26,MATCH(D73,Engine!$B$7:$B$26,0)),0)</f>
        <v/>
      </c>
      <c r="K73" s="0" t="str">
        <f aca="false">IFERROR(INDEX(Engine!$BQ$7:$BQ$26,MATCH(E73,Engine!$B$7:$B$26,0)),0)</f>
        <v/>
      </c>
      <c r="L73" s="19" t="n">
        <f aca="false">IF(AND(D73&lt;&gt;"",E73&lt;&gt;"",D73&lt;&gt;E73,F73="Challenger",J73&gt;0,K73&gt;0,J73&gt;K73),1,0)</f>
        <v>0</v>
      </c>
    </row>
    <row r="74" customFormat="false" ht="15" hidden="false" customHeight="false" outlineLevel="0" collapsed="false">
      <c r="B74" s="15" t="n">
        <v>68</v>
      </c>
      <c r="C74" s="29"/>
      <c r="D74" s="10"/>
      <c r="E74" s="10"/>
      <c r="F74" s="30"/>
      <c r="G74" s="30"/>
      <c r="H74" s="17" t="str">
        <f aca="false">IF(OR(D74="",E74="",F74=""),"",IF(L74=1,D74&amp;" moves up to #"&amp;K74,IF(F74="Challenger",D74&amp;" wins · no change",E74&amp;" stays at #"&amp;K74)))</f>
        <v/>
      </c>
      <c r="J74" s="0" t="str">
        <f aca="false">IFERROR(INDEX(Engine!$BR$7:$BR$26,MATCH(D74,Engine!$B$7:$B$26,0)),0)</f>
        <v/>
      </c>
      <c r="K74" s="0" t="str">
        <f aca="false">IFERROR(INDEX(Engine!$BR$7:$BR$26,MATCH(E74,Engine!$B$7:$B$26,0)),0)</f>
        <v/>
      </c>
      <c r="L74" s="19" t="n">
        <f aca="false">IF(AND(D74&lt;&gt;"",E74&lt;&gt;"",D74&lt;&gt;E74,F74="Challenger",J74&gt;0,K74&gt;0,J74&gt;K74),1,0)</f>
        <v>0</v>
      </c>
    </row>
    <row r="75" customFormat="false" ht="15" hidden="false" customHeight="false" outlineLevel="0" collapsed="false">
      <c r="B75" s="15" t="n">
        <v>69</v>
      </c>
      <c r="C75" s="29"/>
      <c r="D75" s="10"/>
      <c r="E75" s="10"/>
      <c r="F75" s="30"/>
      <c r="G75" s="30"/>
      <c r="H75" s="17" t="str">
        <f aca="false">IF(OR(D75="",E75="",F75=""),"",IF(L75=1,D75&amp;" moves up to #"&amp;K75,IF(F75="Challenger",D75&amp;" wins · no change",E75&amp;" stays at #"&amp;K75)))</f>
        <v/>
      </c>
      <c r="J75" s="0" t="str">
        <f aca="false">IFERROR(INDEX(Engine!$BS$7:$BS$26,MATCH(D75,Engine!$B$7:$B$26,0)),0)</f>
        <v/>
      </c>
      <c r="K75" s="0" t="str">
        <f aca="false">IFERROR(INDEX(Engine!$BS$7:$BS$26,MATCH(E75,Engine!$B$7:$B$26,0)),0)</f>
        <v/>
      </c>
      <c r="L75" s="19" t="n">
        <f aca="false">IF(AND(D75&lt;&gt;"",E75&lt;&gt;"",D75&lt;&gt;E75,F75="Challenger",J75&gt;0,K75&gt;0,J75&gt;K75),1,0)</f>
        <v>0</v>
      </c>
    </row>
    <row r="76" customFormat="false" ht="15" hidden="false" customHeight="false" outlineLevel="0" collapsed="false">
      <c r="B76" s="15" t="n">
        <v>70</v>
      </c>
      <c r="C76" s="29"/>
      <c r="D76" s="10"/>
      <c r="E76" s="10"/>
      <c r="F76" s="30"/>
      <c r="G76" s="30"/>
      <c r="H76" s="17" t="str">
        <f aca="false">IF(OR(D76="",E76="",F76=""),"",IF(L76=1,D76&amp;" moves up to #"&amp;K76,IF(F76="Challenger",D76&amp;" wins · no change",E76&amp;" stays at #"&amp;K76)))</f>
        <v/>
      </c>
      <c r="J76" s="0" t="str">
        <f aca="false">IFERROR(INDEX(Engine!$BT$7:$BT$26,MATCH(D76,Engine!$B$7:$B$26,0)),0)</f>
        <v/>
      </c>
      <c r="K76" s="0" t="str">
        <f aca="false">IFERROR(INDEX(Engine!$BT$7:$BT$26,MATCH(E76,Engine!$B$7:$B$26,0)),0)</f>
        <v/>
      </c>
      <c r="L76" s="19" t="n">
        <f aca="false">IF(AND(D76&lt;&gt;"",E76&lt;&gt;"",D76&lt;&gt;E76,F76="Challenger",J76&gt;0,K76&gt;0,J76&gt;K76),1,0)</f>
        <v>0</v>
      </c>
    </row>
    <row r="77" customFormat="false" ht="15" hidden="false" customHeight="false" outlineLevel="0" collapsed="false">
      <c r="B77" s="15" t="n">
        <v>71</v>
      </c>
      <c r="C77" s="29"/>
      <c r="D77" s="10"/>
      <c r="E77" s="10"/>
      <c r="F77" s="30"/>
      <c r="G77" s="30"/>
      <c r="H77" s="17" t="str">
        <f aca="false">IF(OR(D77="",E77="",F77=""),"",IF(L77=1,D77&amp;" moves up to #"&amp;K77,IF(F77="Challenger",D77&amp;" wins · no change",E77&amp;" stays at #"&amp;K77)))</f>
        <v/>
      </c>
      <c r="J77" s="0" t="str">
        <f aca="false">IFERROR(INDEX(Engine!$BU$7:$BU$26,MATCH(D77,Engine!$B$7:$B$26,0)),0)</f>
        <v/>
      </c>
      <c r="K77" s="0" t="str">
        <f aca="false">IFERROR(INDEX(Engine!$BU$7:$BU$26,MATCH(E77,Engine!$B$7:$B$26,0)),0)</f>
        <v/>
      </c>
      <c r="L77" s="19" t="n">
        <f aca="false">IF(AND(D77&lt;&gt;"",E77&lt;&gt;"",D77&lt;&gt;E77,F77="Challenger",J77&gt;0,K77&gt;0,J77&gt;K77),1,0)</f>
        <v>0</v>
      </c>
    </row>
    <row r="78" customFormat="false" ht="15" hidden="false" customHeight="false" outlineLevel="0" collapsed="false">
      <c r="B78" s="15" t="n">
        <v>72</v>
      </c>
      <c r="C78" s="29"/>
      <c r="D78" s="10"/>
      <c r="E78" s="10"/>
      <c r="F78" s="30"/>
      <c r="G78" s="30"/>
      <c r="H78" s="17" t="str">
        <f aca="false">IF(OR(D78="",E78="",F78=""),"",IF(L78=1,D78&amp;" moves up to #"&amp;K78,IF(F78="Challenger",D78&amp;" wins · no change",E78&amp;" stays at #"&amp;K78)))</f>
        <v/>
      </c>
      <c r="J78" s="0" t="str">
        <f aca="false">IFERROR(INDEX(Engine!$BV$7:$BV$26,MATCH(D78,Engine!$B$7:$B$26,0)),0)</f>
        <v/>
      </c>
      <c r="K78" s="0" t="str">
        <f aca="false">IFERROR(INDEX(Engine!$BV$7:$BV$26,MATCH(E78,Engine!$B$7:$B$26,0)),0)</f>
        <v/>
      </c>
      <c r="L78" s="19" t="n">
        <f aca="false">IF(AND(D78&lt;&gt;"",E78&lt;&gt;"",D78&lt;&gt;E78,F78="Challenger",J78&gt;0,K78&gt;0,J78&gt;K78),1,0)</f>
        <v>0</v>
      </c>
    </row>
    <row r="79" customFormat="false" ht="15" hidden="false" customHeight="false" outlineLevel="0" collapsed="false">
      <c r="B79" s="15" t="n">
        <v>73</v>
      </c>
      <c r="C79" s="29"/>
      <c r="D79" s="10"/>
      <c r="E79" s="10"/>
      <c r="F79" s="30"/>
      <c r="G79" s="30"/>
      <c r="H79" s="17" t="str">
        <f aca="false">IF(OR(D79="",E79="",F79=""),"",IF(L79=1,D79&amp;" moves up to #"&amp;K79,IF(F79="Challenger",D79&amp;" wins · no change",E79&amp;" stays at #"&amp;K79)))</f>
        <v/>
      </c>
      <c r="J79" s="0" t="str">
        <f aca="false">IFERROR(INDEX(Engine!$BW$7:$BW$26,MATCH(D79,Engine!$B$7:$B$26,0)),0)</f>
        <v/>
      </c>
      <c r="K79" s="0" t="str">
        <f aca="false">IFERROR(INDEX(Engine!$BW$7:$BW$26,MATCH(E79,Engine!$B$7:$B$26,0)),0)</f>
        <v/>
      </c>
      <c r="L79" s="19" t="n">
        <f aca="false">IF(AND(D79&lt;&gt;"",E79&lt;&gt;"",D79&lt;&gt;E79,F79="Challenger",J79&gt;0,K79&gt;0,J79&gt;K79),1,0)</f>
        <v>0</v>
      </c>
    </row>
    <row r="80" customFormat="false" ht="15" hidden="false" customHeight="false" outlineLevel="0" collapsed="false">
      <c r="B80" s="15" t="n">
        <v>74</v>
      </c>
      <c r="C80" s="29"/>
      <c r="D80" s="10"/>
      <c r="E80" s="10"/>
      <c r="F80" s="30"/>
      <c r="G80" s="30"/>
      <c r="H80" s="17" t="str">
        <f aca="false">IF(OR(D80="",E80="",F80=""),"",IF(L80=1,D80&amp;" moves up to #"&amp;K80,IF(F80="Challenger",D80&amp;" wins · no change",E80&amp;" stays at #"&amp;K80)))</f>
        <v/>
      </c>
      <c r="J80" s="0" t="str">
        <f aca="false">IFERROR(INDEX(Engine!$BX$7:$BX$26,MATCH(D80,Engine!$B$7:$B$26,0)),0)</f>
        <v/>
      </c>
      <c r="K80" s="0" t="str">
        <f aca="false">IFERROR(INDEX(Engine!$BX$7:$BX$26,MATCH(E80,Engine!$B$7:$B$26,0)),0)</f>
        <v/>
      </c>
      <c r="L80" s="19" t="n">
        <f aca="false">IF(AND(D80&lt;&gt;"",E80&lt;&gt;"",D80&lt;&gt;E80,F80="Challenger",J80&gt;0,K80&gt;0,J80&gt;K80),1,0)</f>
        <v>0</v>
      </c>
    </row>
    <row r="81" customFormat="false" ht="15" hidden="false" customHeight="false" outlineLevel="0" collapsed="false">
      <c r="B81" s="15" t="n">
        <v>75</v>
      </c>
      <c r="C81" s="29"/>
      <c r="D81" s="10"/>
      <c r="E81" s="10"/>
      <c r="F81" s="30"/>
      <c r="G81" s="30"/>
      <c r="H81" s="17" t="str">
        <f aca="false">IF(OR(D81="",E81="",F81=""),"",IF(L81=1,D81&amp;" moves up to #"&amp;K81,IF(F81="Challenger",D81&amp;" wins · no change",E81&amp;" stays at #"&amp;K81)))</f>
        <v/>
      </c>
      <c r="J81" s="0" t="str">
        <f aca="false">IFERROR(INDEX(Engine!$BY$7:$BY$26,MATCH(D81,Engine!$B$7:$B$26,0)),0)</f>
        <v/>
      </c>
      <c r="K81" s="0" t="str">
        <f aca="false">IFERROR(INDEX(Engine!$BY$7:$BY$26,MATCH(E81,Engine!$B$7:$B$26,0)),0)</f>
        <v/>
      </c>
      <c r="L81" s="19" t="n">
        <f aca="false">IF(AND(D81&lt;&gt;"",E81&lt;&gt;"",D81&lt;&gt;E81,F81="Challenger",J81&gt;0,K81&gt;0,J81&gt;K81),1,0)</f>
        <v>0</v>
      </c>
    </row>
    <row r="82" customFormat="false" ht="15" hidden="false" customHeight="false" outlineLevel="0" collapsed="false">
      <c r="B82" s="15" t="n">
        <v>76</v>
      </c>
      <c r="C82" s="29"/>
      <c r="D82" s="10"/>
      <c r="E82" s="10"/>
      <c r="F82" s="30"/>
      <c r="G82" s="30"/>
      <c r="H82" s="17" t="str">
        <f aca="false">IF(OR(D82="",E82="",F82=""),"",IF(L82=1,D82&amp;" moves up to #"&amp;K82,IF(F82="Challenger",D82&amp;" wins · no change",E82&amp;" stays at #"&amp;K82)))</f>
        <v/>
      </c>
      <c r="J82" s="0" t="str">
        <f aca="false">IFERROR(INDEX(Engine!$BZ$7:$BZ$26,MATCH(D82,Engine!$B$7:$B$26,0)),0)</f>
        <v/>
      </c>
      <c r="K82" s="0" t="str">
        <f aca="false">IFERROR(INDEX(Engine!$BZ$7:$BZ$26,MATCH(E82,Engine!$B$7:$B$26,0)),0)</f>
        <v/>
      </c>
      <c r="L82" s="19" t="n">
        <f aca="false">IF(AND(D82&lt;&gt;"",E82&lt;&gt;"",D82&lt;&gt;E82,F82="Challenger",J82&gt;0,K82&gt;0,J82&gt;K82),1,0)</f>
        <v>0</v>
      </c>
    </row>
    <row r="83" customFormat="false" ht="15" hidden="false" customHeight="false" outlineLevel="0" collapsed="false">
      <c r="B83" s="15" t="n">
        <v>77</v>
      </c>
      <c r="C83" s="29"/>
      <c r="D83" s="10"/>
      <c r="E83" s="10"/>
      <c r="F83" s="30"/>
      <c r="G83" s="30"/>
      <c r="H83" s="17" t="str">
        <f aca="false">IF(OR(D83="",E83="",F83=""),"",IF(L83=1,D83&amp;" moves up to #"&amp;K83,IF(F83="Challenger",D83&amp;" wins · no change",E83&amp;" stays at #"&amp;K83)))</f>
        <v/>
      </c>
      <c r="J83" s="0" t="str">
        <f aca="false">IFERROR(INDEX(Engine!$CA$7:$CA$26,MATCH(D83,Engine!$B$7:$B$26,0)),0)</f>
        <v/>
      </c>
      <c r="K83" s="0" t="str">
        <f aca="false">IFERROR(INDEX(Engine!$CA$7:$CA$26,MATCH(E83,Engine!$B$7:$B$26,0)),0)</f>
        <v/>
      </c>
      <c r="L83" s="19" t="n">
        <f aca="false">IF(AND(D83&lt;&gt;"",E83&lt;&gt;"",D83&lt;&gt;E83,F83="Challenger",J83&gt;0,K83&gt;0,J83&gt;K83),1,0)</f>
        <v>0</v>
      </c>
    </row>
    <row r="84" customFormat="false" ht="15" hidden="false" customHeight="false" outlineLevel="0" collapsed="false">
      <c r="B84" s="15" t="n">
        <v>78</v>
      </c>
      <c r="C84" s="29"/>
      <c r="D84" s="10"/>
      <c r="E84" s="10"/>
      <c r="F84" s="30"/>
      <c r="G84" s="30"/>
      <c r="H84" s="17" t="str">
        <f aca="false">IF(OR(D84="",E84="",F84=""),"",IF(L84=1,D84&amp;" moves up to #"&amp;K84,IF(F84="Challenger",D84&amp;" wins · no change",E84&amp;" stays at #"&amp;K84)))</f>
        <v/>
      </c>
      <c r="J84" s="0" t="str">
        <f aca="false">IFERROR(INDEX(Engine!$CB$7:$CB$26,MATCH(D84,Engine!$B$7:$B$26,0)),0)</f>
        <v/>
      </c>
      <c r="K84" s="0" t="str">
        <f aca="false">IFERROR(INDEX(Engine!$CB$7:$CB$26,MATCH(E84,Engine!$B$7:$B$26,0)),0)</f>
        <v/>
      </c>
      <c r="L84" s="19" t="n">
        <f aca="false">IF(AND(D84&lt;&gt;"",E84&lt;&gt;"",D84&lt;&gt;E84,F84="Challenger",J84&gt;0,K84&gt;0,J84&gt;K84),1,0)</f>
        <v>0</v>
      </c>
    </row>
    <row r="85" customFormat="false" ht="15" hidden="false" customHeight="false" outlineLevel="0" collapsed="false">
      <c r="B85" s="15" t="n">
        <v>79</v>
      </c>
      <c r="C85" s="29"/>
      <c r="D85" s="10"/>
      <c r="E85" s="10"/>
      <c r="F85" s="30"/>
      <c r="G85" s="30"/>
      <c r="H85" s="17" t="str">
        <f aca="false">IF(OR(D85="",E85="",F85=""),"",IF(L85=1,D85&amp;" moves up to #"&amp;K85,IF(F85="Challenger",D85&amp;" wins · no change",E85&amp;" stays at #"&amp;K85)))</f>
        <v/>
      </c>
      <c r="J85" s="0" t="str">
        <f aca="false">IFERROR(INDEX(Engine!$CC$7:$CC$26,MATCH(D85,Engine!$B$7:$B$26,0)),0)</f>
        <v/>
      </c>
      <c r="K85" s="0" t="str">
        <f aca="false">IFERROR(INDEX(Engine!$CC$7:$CC$26,MATCH(E85,Engine!$B$7:$B$26,0)),0)</f>
        <v/>
      </c>
      <c r="L85" s="19" t="n">
        <f aca="false">IF(AND(D85&lt;&gt;"",E85&lt;&gt;"",D85&lt;&gt;E85,F85="Challenger",J85&gt;0,K85&gt;0,J85&gt;K85),1,0)</f>
        <v>0</v>
      </c>
    </row>
    <row r="86" customFormat="false" ht="15" hidden="false" customHeight="false" outlineLevel="0" collapsed="false">
      <c r="B86" s="15" t="n">
        <v>80</v>
      </c>
      <c r="C86" s="29"/>
      <c r="D86" s="10"/>
      <c r="E86" s="10"/>
      <c r="F86" s="30"/>
      <c r="G86" s="30"/>
      <c r="H86" s="17" t="str">
        <f aca="false">IF(OR(D86="",E86="",F86=""),"",IF(L86=1,D86&amp;" moves up to #"&amp;K86,IF(F86="Challenger",D86&amp;" wins · no change",E86&amp;" stays at #"&amp;K86)))</f>
        <v/>
      </c>
      <c r="J86" s="0" t="str">
        <f aca="false">IFERROR(INDEX(Engine!$CD$7:$CD$26,MATCH(D86,Engine!$B$7:$B$26,0)),0)</f>
        <v/>
      </c>
      <c r="K86" s="0" t="str">
        <f aca="false">IFERROR(INDEX(Engine!$CD$7:$CD$26,MATCH(E86,Engine!$B$7:$B$26,0)),0)</f>
        <v/>
      </c>
      <c r="L86" s="19" t="n">
        <f aca="false">IF(AND(D86&lt;&gt;"",E86&lt;&gt;"",D86&lt;&gt;E86,F86="Challenger",J86&gt;0,K86&gt;0,J86&gt;K86),1,0)</f>
        <v>0</v>
      </c>
    </row>
    <row r="87" customFormat="false" ht="15" hidden="false" customHeight="false" outlineLevel="0" collapsed="false">
      <c r="B87" s="15" t="n">
        <v>81</v>
      </c>
      <c r="C87" s="29"/>
      <c r="D87" s="10"/>
      <c r="E87" s="10"/>
      <c r="F87" s="30"/>
      <c r="G87" s="30"/>
      <c r="H87" s="17" t="str">
        <f aca="false">IF(OR(D87="",E87="",F87=""),"",IF(L87=1,D87&amp;" moves up to #"&amp;K87,IF(F87="Challenger",D87&amp;" wins · no change",E87&amp;" stays at #"&amp;K87)))</f>
        <v/>
      </c>
      <c r="J87" s="0" t="str">
        <f aca="false">IFERROR(INDEX(Engine!$CE$7:$CE$26,MATCH(D87,Engine!$B$7:$B$26,0)),0)</f>
        <v/>
      </c>
      <c r="K87" s="0" t="str">
        <f aca="false">IFERROR(INDEX(Engine!$CE$7:$CE$26,MATCH(E87,Engine!$B$7:$B$26,0)),0)</f>
        <v/>
      </c>
      <c r="L87" s="19" t="n">
        <f aca="false">IF(AND(D87&lt;&gt;"",E87&lt;&gt;"",D87&lt;&gt;E87,F87="Challenger",J87&gt;0,K87&gt;0,J87&gt;K87),1,0)</f>
        <v>0</v>
      </c>
    </row>
    <row r="88" customFormat="false" ht="15" hidden="false" customHeight="false" outlineLevel="0" collapsed="false">
      <c r="B88" s="15" t="n">
        <v>82</v>
      </c>
      <c r="C88" s="29"/>
      <c r="D88" s="10"/>
      <c r="E88" s="10"/>
      <c r="F88" s="30"/>
      <c r="G88" s="30"/>
      <c r="H88" s="17" t="str">
        <f aca="false">IF(OR(D88="",E88="",F88=""),"",IF(L88=1,D88&amp;" moves up to #"&amp;K88,IF(F88="Challenger",D88&amp;" wins · no change",E88&amp;" stays at #"&amp;K88)))</f>
        <v/>
      </c>
      <c r="J88" s="0" t="str">
        <f aca="false">IFERROR(INDEX(Engine!$CF$7:$CF$26,MATCH(D88,Engine!$B$7:$B$26,0)),0)</f>
        <v/>
      </c>
      <c r="K88" s="0" t="str">
        <f aca="false">IFERROR(INDEX(Engine!$CF$7:$CF$26,MATCH(E88,Engine!$B$7:$B$26,0)),0)</f>
        <v/>
      </c>
      <c r="L88" s="19" t="n">
        <f aca="false">IF(AND(D88&lt;&gt;"",E88&lt;&gt;"",D88&lt;&gt;E88,F88="Challenger",J88&gt;0,K88&gt;0,J88&gt;K88),1,0)</f>
        <v>0</v>
      </c>
    </row>
    <row r="89" customFormat="false" ht="15" hidden="false" customHeight="false" outlineLevel="0" collapsed="false">
      <c r="B89" s="15" t="n">
        <v>83</v>
      </c>
      <c r="C89" s="29"/>
      <c r="D89" s="10"/>
      <c r="E89" s="10"/>
      <c r="F89" s="30"/>
      <c r="G89" s="30"/>
      <c r="H89" s="17" t="str">
        <f aca="false">IF(OR(D89="",E89="",F89=""),"",IF(L89=1,D89&amp;" moves up to #"&amp;K89,IF(F89="Challenger",D89&amp;" wins · no change",E89&amp;" stays at #"&amp;K89)))</f>
        <v/>
      </c>
      <c r="J89" s="0" t="str">
        <f aca="false">IFERROR(INDEX(Engine!$CG$7:$CG$26,MATCH(D89,Engine!$B$7:$B$26,0)),0)</f>
        <v/>
      </c>
      <c r="K89" s="0" t="str">
        <f aca="false">IFERROR(INDEX(Engine!$CG$7:$CG$26,MATCH(E89,Engine!$B$7:$B$26,0)),0)</f>
        <v/>
      </c>
      <c r="L89" s="19" t="n">
        <f aca="false">IF(AND(D89&lt;&gt;"",E89&lt;&gt;"",D89&lt;&gt;E89,F89="Challenger",J89&gt;0,K89&gt;0,J89&gt;K89),1,0)</f>
        <v>0</v>
      </c>
    </row>
    <row r="90" customFormat="false" ht="15" hidden="false" customHeight="false" outlineLevel="0" collapsed="false">
      <c r="B90" s="15" t="n">
        <v>84</v>
      </c>
      <c r="C90" s="29"/>
      <c r="D90" s="10"/>
      <c r="E90" s="10"/>
      <c r="F90" s="30"/>
      <c r="G90" s="30"/>
      <c r="H90" s="17" t="str">
        <f aca="false">IF(OR(D90="",E90="",F90=""),"",IF(L90=1,D90&amp;" moves up to #"&amp;K90,IF(F90="Challenger",D90&amp;" wins · no change",E90&amp;" stays at #"&amp;K90)))</f>
        <v/>
      </c>
      <c r="J90" s="0" t="str">
        <f aca="false">IFERROR(INDEX(Engine!$CH$7:$CH$26,MATCH(D90,Engine!$B$7:$B$26,0)),0)</f>
        <v/>
      </c>
      <c r="K90" s="0" t="str">
        <f aca="false">IFERROR(INDEX(Engine!$CH$7:$CH$26,MATCH(E90,Engine!$B$7:$B$26,0)),0)</f>
        <v/>
      </c>
      <c r="L90" s="19" t="n">
        <f aca="false">IF(AND(D90&lt;&gt;"",E90&lt;&gt;"",D90&lt;&gt;E90,F90="Challenger",J90&gt;0,K90&gt;0,J90&gt;K90),1,0)</f>
        <v>0</v>
      </c>
    </row>
    <row r="91" customFormat="false" ht="15" hidden="false" customHeight="false" outlineLevel="0" collapsed="false">
      <c r="B91" s="15" t="n">
        <v>85</v>
      </c>
      <c r="C91" s="29"/>
      <c r="D91" s="10"/>
      <c r="E91" s="10"/>
      <c r="F91" s="30"/>
      <c r="G91" s="30"/>
      <c r="H91" s="17" t="str">
        <f aca="false">IF(OR(D91="",E91="",F91=""),"",IF(L91=1,D91&amp;" moves up to #"&amp;K91,IF(F91="Challenger",D91&amp;" wins · no change",E91&amp;" stays at #"&amp;K91)))</f>
        <v/>
      </c>
      <c r="J91" s="0" t="str">
        <f aca="false">IFERROR(INDEX(Engine!$CI$7:$CI$26,MATCH(D91,Engine!$B$7:$B$26,0)),0)</f>
        <v/>
      </c>
      <c r="K91" s="0" t="str">
        <f aca="false">IFERROR(INDEX(Engine!$CI$7:$CI$26,MATCH(E91,Engine!$B$7:$B$26,0)),0)</f>
        <v/>
      </c>
      <c r="L91" s="19" t="n">
        <f aca="false">IF(AND(D91&lt;&gt;"",E91&lt;&gt;"",D91&lt;&gt;E91,F91="Challenger",J91&gt;0,K91&gt;0,J91&gt;K91),1,0)</f>
        <v>0</v>
      </c>
    </row>
    <row r="92" customFormat="false" ht="15" hidden="false" customHeight="false" outlineLevel="0" collapsed="false">
      <c r="B92" s="15" t="n">
        <v>86</v>
      </c>
      <c r="C92" s="29"/>
      <c r="D92" s="10"/>
      <c r="E92" s="10"/>
      <c r="F92" s="30"/>
      <c r="G92" s="30"/>
      <c r="H92" s="17" t="str">
        <f aca="false">IF(OR(D92="",E92="",F92=""),"",IF(L92=1,D92&amp;" moves up to #"&amp;K92,IF(F92="Challenger",D92&amp;" wins · no change",E92&amp;" stays at #"&amp;K92)))</f>
        <v/>
      </c>
      <c r="J92" s="0" t="str">
        <f aca="false">IFERROR(INDEX(Engine!$CJ$7:$CJ$26,MATCH(D92,Engine!$B$7:$B$26,0)),0)</f>
        <v/>
      </c>
      <c r="K92" s="0" t="str">
        <f aca="false">IFERROR(INDEX(Engine!$CJ$7:$CJ$26,MATCH(E92,Engine!$B$7:$B$26,0)),0)</f>
        <v/>
      </c>
      <c r="L92" s="19" t="n">
        <f aca="false">IF(AND(D92&lt;&gt;"",E92&lt;&gt;"",D92&lt;&gt;E92,F92="Challenger",J92&gt;0,K92&gt;0,J92&gt;K92),1,0)</f>
        <v>0</v>
      </c>
    </row>
    <row r="93" customFormat="false" ht="15" hidden="false" customHeight="false" outlineLevel="0" collapsed="false">
      <c r="B93" s="15" t="n">
        <v>87</v>
      </c>
      <c r="C93" s="29"/>
      <c r="D93" s="10"/>
      <c r="E93" s="10"/>
      <c r="F93" s="30"/>
      <c r="G93" s="30"/>
      <c r="H93" s="17" t="str">
        <f aca="false">IF(OR(D93="",E93="",F93=""),"",IF(L93=1,D93&amp;" moves up to #"&amp;K93,IF(F93="Challenger",D93&amp;" wins · no change",E93&amp;" stays at #"&amp;K93)))</f>
        <v/>
      </c>
      <c r="J93" s="0" t="str">
        <f aca="false">IFERROR(INDEX(Engine!$CK$7:$CK$26,MATCH(D93,Engine!$B$7:$B$26,0)),0)</f>
        <v/>
      </c>
      <c r="K93" s="0" t="str">
        <f aca="false">IFERROR(INDEX(Engine!$CK$7:$CK$26,MATCH(E93,Engine!$B$7:$B$26,0)),0)</f>
        <v/>
      </c>
      <c r="L93" s="19" t="n">
        <f aca="false">IF(AND(D93&lt;&gt;"",E93&lt;&gt;"",D93&lt;&gt;E93,F93="Challenger",J93&gt;0,K93&gt;0,J93&gt;K93),1,0)</f>
        <v>0</v>
      </c>
    </row>
    <row r="94" customFormat="false" ht="15" hidden="false" customHeight="false" outlineLevel="0" collapsed="false">
      <c r="B94" s="15" t="n">
        <v>88</v>
      </c>
      <c r="C94" s="29"/>
      <c r="D94" s="10"/>
      <c r="E94" s="10"/>
      <c r="F94" s="30"/>
      <c r="G94" s="30"/>
      <c r="H94" s="17" t="str">
        <f aca="false">IF(OR(D94="",E94="",F94=""),"",IF(L94=1,D94&amp;" moves up to #"&amp;K94,IF(F94="Challenger",D94&amp;" wins · no change",E94&amp;" stays at #"&amp;K94)))</f>
        <v/>
      </c>
      <c r="J94" s="0" t="str">
        <f aca="false">IFERROR(INDEX(Engine!$CL$7:$CL$26,MATCH(D94,Engine!$B$7:$B$26,0)),0)</f>
        <v/>
      </c>
      <c r="K94" s="0" t="str">
        <f aca="false">IFERROR(INDEX(Engine!$CL$7:$CL$26,MATCH(E94,Engine!$B$7:$B$26,0)),0)</f>
        <v/>
      </c>
      <c r="L94" s="19" t="n">
        <f aca="false">IF(AND(D94&lt;&gt;"",E94&lt;&gt;"",D94&lt;&gt;E94,F94="Challenger",J94&gt;0,K94&gt;0,J94&gt;K94),1,0)</f>
        <v>0</v>
      </c>
    </row>
    <row r="95" customFormat="false" ht="15" hidden="false" customHeight="false" outlineLevel="0" collapsed="false">
      <c r="B95" s="15" t="n">
        <v>89</v>
      </c>
      <c r="C95" s="29"/>
      <c r="D95" s="10"/>
      <c r="E95" s="10"/>
      <c r="F95" s="30"/>
      <c r="G95" s="30"/>
      <c r="H95" s="17" t="str">
        <f aca="false">IF(OR(D95="",E95="",F95=""),"",IF(L95=1,D95&amp;" moves up to #"&amp;K95,IF(F95="Challenger",D95&amp;" wins · no change",E95&amp;" stays at #"&amp;K95)))</f>
        <v/>
      </c>
      <c r="J95" s="0" t="str">
        <f aca="false">IFERROR(INDEX(Engine!$CM$7:$CM$26,MATCH(D95,Engine!$B$7:$B$26,0)),0)</f>
        <v/>
      </c>
      <c r="K95" s="0" t="str">
        <f aca="false">IFERROR(INDEX(Engine!$CM$7:$CM$26,MATCH(E95,Engine!$B$7:$B$26,0)),0)</f>
        <v/>
      </c>
      <c r="L95" s="19" t="n">
        <f aca="false">IF(AND(D95&lt;&gt;"",E95&lt;&gt;"",D95&lt;&gt;E95,F95="Challenger",J95&gt;0,K95&gt;0,J95&gt;K95),1,0)</f>
        <v>0</v>
      </c>
    </row>
    <row r="96" customFormat="false" ht="15" hidden="false" customHeight="false" outlineLevel="0" collapsed="false">
      <c r="B96" s="15" t="n">
        <v>90</v>
      </c>
      <c r="C96" s="29"/>
      <c r="D96" s="10"/>
      <c r="E96" s="10"/>
      <c r="F96" s="30"/>
      <c r="G96" s="30"/>
      <c r="H96" s="17" t="str">
        <f aca="false">IF(OR(D96="",E96="",F96=""),"",IF(L96=1,D96&amp;" moves up to #"&amp;K96,IF(F96="Challenger",D96&amp;" wins · no change",E96&amp;" stays at #"&amp;K96)))</f>
        <v/>
      </c>
      <c r="J96" s="0" t="str">
        <f aca="false">IFERROR(INDEX(Engine!$CN$7:$CN$26,MATCH(D96,Engine!$B$7:$B$26,0)),0)</f>
        <v/>
      </c>
      <c r="K96" s="0" t="str">
        <f aca="false">IFERROR(INDEX(Engine!$CN$7:$CN$26,MATCH(E96,Engine!$B$7:$B$26,0)),0)</f>
        <v/>
      </c>
      <c r="L96" s="19" t="n">
        <f aca="false">IF(AND(D96&lt;&gt;"",E96&lt;&gt;"",D96&lt;&gt;E96,F96="Challenger",J96&gt;0,K96&gt;0,J96&gt;K96),1,0)</f>
        <v>0</v>
      </c>
    </row>
    <row r="97" customFormat="false" ht="15" hidden="false" customHeight="false" outlineLevel="0" collapsed="false">
      <c r="B97" s="15" t="n">
        <v>91</v>
      </c>
      <c r="C97" s="29"/>
      <c r="D97" s="10"/>
      <c r="E97" s="10"/>
      <c r="F97" s="30"/>
      <c r="G97" s="30"/>
      <c r="H97" s="17" t="str">
        <f aca="false">IF(OR(D97="",E97="",F97=""),"",IF(L97=1,D97&amp;" moves up to #"&amp;K97,IF(F97="Challenger",D97&amp;" wins · no change",E97&amp;" stays at #"&amp;K97)))</f>
        <v/>
      </c>
      <c r="J97" s="0" t="str">
        <f aca="false">IFERROR(INDEX(Engine!$CO$7:$CO$26,MATCH(D97,Engine!$B$7:$B$26,0)),0)</f>
        <v/>
      </c>
      <c r="K97" s="0" t="str">
        <f aca="false">IFERROR(INDEX(Engine!$CO$7:$CO$26,MATCH(E97,Engine!$B$7:$B$26,0)),0)</f>
        <v/>
      </c>
      <c r="L97" s="19" t="n">
        <f aca="false">IF(AND(D97&lt;&gt;"",E97&lt;&gt;"",D97&lt;&gt;E97,F97="Challenger",J97&gt;0,K97&gt;0,J97&gt;K97),1,0)</f>
        <v>0</v>
      </c>
    </row>
    <row r="98" customFormat="false" ht="15" hidden="false" customHeight="false" outlineLevel="0" collapsed="false">
      <c r="B98" s="15" t="n">
        <v>92</v>
      </c>
      <c r="C98" s="29"/>
      <c r="D98" s="10"/>
      <c r="E98" s="10"/>
      <c r="F98" s="30"/>
      <c r="G98" s="30"/>
      <c r="H98" s="17" t="str">
        <f aca="false">IF(OR(D98="",E98="",F98=""),"",IF(L98=1,D98&amp;" moves up to #"&amp;K98,IF(F98="Challenger",D98&amp;" wins · no change",E98&amp;" stays at #"&amp;K98)))</f>
        <v/>
      </c>
      <c r="J98" s="0" t="str">
        <f aca="false">IFERROR(INDEX(Engine!$CP$7:$CP$26,MATCH(D98,Engine!$B$7:$B$26,0)),0)</f>
        <v/>
      </c>
      <c r="K98" s="0" t="str">
        <f aca="false">IFERROR(INDEX(Engine!$CP$7:$CP$26,MATCH(E98,Engine!$B$7:$B$26,0)),0)</f>
        <v/>
      </c>
      <c r="L98" s="19" t="n">
        <f aca="false">IF(AND(D98&lt;&gt;"",E98&lt;&gt;"",D98&lt;&gt;E98,F98="Challenger",J98&gt;0,K98&gt;0,J98&gt;K98),1,0)</f>
        <v>0</v>
      </c>
    </row>
    <row r="99" customFormat="false" ht="15" hidden="false" customHeight="false" outlineLevel="0" collapsed="false">
      <c r="B99" s="15" t="n">
        <v>93</v>
      </c>
      <c r="C99" s="29"/>
      <c r="D99" s="10"/>
      <c r="E99" s="10"/>
      <c r="F99" s="30"/>
      <c r="G99" s="30"/>
      <c r="H99" s="17" t="str">
        <f aca="false">IF(OR(D99="",E99="",F99=""),"",IF(L99=1,D99&amp;" moves up to #"&amp;K99,IF(F99="Challenger",D99&amp;" wins · no change",E99&amp;" stays at #"&amp;K99)))</f>
        <v/>
      </c>
      <c r="J99" s="0" t="str">
        <f aca="false">IFERROR(INDEX(Engine!$CQ$7:$CQ$26,MATCH(D99,Engine!$B$7:$B$26,0)),0)</f>
        <v/>
      </c>
      <c r="K99" s="0" t="str">
        <f aca="false">IFERROR(INDEX(Engine!$CQ$7:$CQ$26,MATCH(E99,Engine!$B$7:$B$26,0)),0)</f>
        <v/>
      </c>
      <c r="L99" s="19" t="n">
        <f aca="false">IF(AND(D99&lt;&gt;"",E99&lt;&gt;"",D99&lt;&gt;E99,F99="Challenger",J99&gt;0,K99&gt;0,J99&gt;K99),1,0)</f>
        <v>0</v>
      </c>
    </row>
    <row r="100" customFormat="false" ht="15" hidden="false" customHeight="false" outlineLevel="0" collapsed="false">
      <c r="B100" s="15" t="n">
        <v>94</v>
      </c>
      <c r="C100" s="29"/>
      <c r="D100" s="10"/>
      <c r="E100" s="10"/>
      <c r="F100" s="30"/>
      <c r="G100" s="30"/>
      <c r="H100" s="17" t="str">
        <f aca="false">IF(OR(D100="",E100="",F100=""),"",IF(L100=1,D100&amp;" moves up to #"&amp;K100,IF(F100="Challenger",D100&amp;" wins · no change",E100&amp;" stays at #"&amp;K100)))</f>
        <v/>
      </c>
      <c r="J100" s="0" t="str">
        <f aca="false">IFERROR(INDEX(Engine!$CR$7:$CR$26,MATCH(D100,Engine!$B$7:$B$26,0)),0)</f>
        <v/>
      </c>
      <c r="K100" s="0" t="str">
        <f aca="false">IFERROR(INDEX(Engine!$CR$7:$CR$26,MATCH(E100,Engine!$B$7:$B$26,0)),0)</f>
        <v/>
      </c>
      <c r="L100" s="19" t="n">
        <f aca="false">IF(AND(D100&lt;&gt;"",E100&lt;&gt;"",D100&lt;&gt;E100,F100="Challenger",J100&gt;0,K100&gt;0,J100&gt;K100),1,0)</f>
        <v>0</v>
      </c>
    </row>
    <row r="101" customFormat="false" ht="15" hidden="false" customHeight="false" outlineLevel="0" collapsed="false">
      <c r="B101" s="15" t="n">
        <v>95</v>
      </c>
      <c r="C101" s="29"/>
      <c r="D101" s="10"/>
      <c r="E101" s="10"/>
      <c r="F101" s="30"/>
      <c r="G101" s="30"/>
      <c r="H101" s="17" t="str">
        <f aca="false">IF(OR(D101="",E101="",F101=""),"",IF(L101=1,D101&amp;" moves up to #"&amp;K101,IF(F101="Challenger",D101&amp;" wins · no change",E101&amp;" stays at #"&amp;K101)))</f>
        <v/>
      </c>
      <c r="J101" s="0" t="str">
        <f aca="false">IFERROR(INDEX(Engine!$CS$7:$CS$26,MATCH(D101,Engine!$B$7:$B$26,0)),0)</f>
        <v/>
      </c>
      <c r="K101" s="0" t="str">
        <f aca="false">IFERROR(INDEX(Engine!$CS$7:$CS$26,MATCH(E101,Engine!$B$7:$B$26,0)),0)</f>
        <v/>
      </c>
      <c r="L101" s="19" t="n">
        <f aca="false">IF(AND(D101&lt;&gt;"",E101&lt;&gt;"",D101&lt;&gt;E101,F101="Challenger",J101&gt;0,K101&gt;0,J101&gt;K101),1,0)</f>
        <v>0</v>
      </c>
    </row>
    <row r="102" customFormat="false" ht="15" hidden="false" customHeight="false" outlineLevel="0" collapsed="false">
      <c r="B102" s="15" t="n">
        <v>96</v>
      </c>
      <c r="C102" s="29"/>
      <c r="D102" s="10"/>
      <c r="E102" s="10"/>
      <c r="F102" s="30"/>
      <c r="G102" s="30"/>
      <c r="H102" s="17" t="str">
        <f aca="false">IF(OR(D102="",E102="",F102=""),"",IF(L102=1,D102&amp;" moves up to #"&amp;K102,IF(F102="Challenger",D102&amp;" wins · no change",E102&amp;" stays at #"&amp;K102)))</f>
        <v/>
      </c>
      <c r="J102" s="0" t="str">
        <f aca="false">IFERROR(INDEX(Engine!$CT$7:$CT$26,MATCH(D102,Engine!$B$7:$B$26,0)),0)</f>
        <v/>
      </c>
      <c r="K102" s="0" t="str">
        <f aca="false">IFERROR(INDEX(Engine!$CT$7:$CT$26,MATCH(E102,Engine!$B$7:$B$26,0)),0)</f>
        <v/>
      </c>
      <c r="L102" s="19" t="n">
        <f aca="false">IF(AND(D102&lt;&gt;"",E102&lt;&gt;"",D102&lt;&gt;E102,F102="Challenger",J102&gt;0,K102&gt;0,J102&gt;K102),1,0)</f>
        <v>0</v>
      </c>
    </row>
    <row r="103" customFormat="false" ht="15" hidden="false" customHeight="false" outlineLevel="0" collapsed="false">
      <c r="B103" s="15" t="n">
        <v>97</v>
      </c>
      <c r="C103" s="29"/>
      <c r="D103" s="10"/>
      <c r="E103" s="10"/>
      <c r="F103" s="30"/>
      <c r="G103" s="30"/>
      <c r="H103" s="17" t="str">
        <f aca="false">IF(OR(D103="",E103="",F103=""),"",IF(L103=1,D103&amp;" moves up to #"&amp;K103,IF(F103="Challenger",D103&amp;" wins · no change",E103&amp;" stays at #"&amp;K103)))</f>
        <v/>
      </c>
      <c r="J103" s="0" t="str">
        <f aca="false">IFERROR(INDEX(Engine!$CU$7:$CU$26,MATCH(D103,Engine!$B$7:$B$26,0)),0)</f>
        <v/>
      </c>
      <c r="K103" s="0" t="str">
        <f aca="false">IFERROR(INDEX(Engine!$CU$7:$CU$26,MATCH(E103,Engine!$B$7:$B$26,0)),0)</f>
        <v/>
      </c>
      <c r="L103" s="19" t="n">
        <f aca="false">IF(AND(D103&lt;&gt;"",E103&lt;&gt;"",D103&lt;&gt;E103,F103="Challenger",J103&gt;0,K103&gt;0,J103&gt;K103),1,0)</f>
        <v>0</v>
      </c>
    </row>
    <row r="104" customFormat="false" ht="15" hidden="false" customHeight="false" outlineLevel="0" collapsed="false">
      <c r="B104" s="15" t="n">
        <v>98</v>
      </c>
      <c r="C104" s="29"/>
      <c r="D104" s="10"/>
      <c r="E104" s="10"/>
      <c r="F104" s="30"/>
      <c r="G104" s="30"/>
      <c r="H104" s="17" t="str">
        <f aca="false">IF(OR(D104="",E104="",F104=""),"",IF(L104=1,D104&amp;" moves up to #"&amp;K104,IF(F104="Challenger",D104&amp;" wins · no change",E104&amp;" stays at #"&amp;K104)))</f>
        <v/>
      </c>
      <c r="J104" s="0" t="str">
        <f aca="false">IFERROR(INDEX(Engine!$CV$7:$CV$26,MATCH(D104,Engine!$B$7:$B$26,0)),0)</f>
        <v/>
      </c>
      <c r="K104" s="0" t="str">
        <f aca="false">IFERROR(INDEX(Engine!$CV$7:$CV$26,MATCH(E104,Engine!$B$7:$B$26,0)),0)</f>
        <v/>
      </c>
      <c r="L104" s="19" t="n">
        <f aca="false">IF(AND(D104&lt;&gt;"",E104&lt;&gt;"",D104&lt;&gt;E104,F104="Challenger",J104&gt;0,K104&gt;0,J104&gt;K104),1,0)</f>
        <v>0</v>
      </c>
    </row>
    <row r="105" customFormat="false" ht="15" hidden="false" customHeight="false" outlineLevel="0" collapsed="false">
      <c r="B105" s="15" t="n">
        <v>99</v>
      </c>
      <c r="C105" s="29"/>
      <c r="D105" s="10"/>
      <c r="E105" s="10"/>
      <c r="F105" s="30"/>
      <c r="G105" s="30"/>
      <c r="H105" s="17" t="str">
        <f aca="false">IF(OR(D105="",E105="",F105=""),"",IF(L105=1,D105&amp;" moves up to #"&amp;K105,IF(F105="Challenger",D105&amp;" wins · no change",E105&amp;" stays at #"&amp;K105)))</f>
        <v/>
      </c>
      <c r="J105" s="0" t="str">
        <f aca="false">IFERROR(INDEX(Engine!$CW$7:$CW$26,MATCH(D105,Engine!$B$7:$B$26,0)),0)</f>
        <v/>
      </c>
      <c r="K105" s="0" t="str">
        <f aca="false">IFERROR(INDEX(Engine!$CW$7:$CW$26,MATCH(E105,Engine!$B$7:$B$26,0)),0)</f>
        <v/>
      </c>
      <c r="L105" s="19" t="n">
        <f aca="false">IF(AND(D105&lt;&gt;"",E105&lt;&gt;"",D105&lt;&gt;E105,F105="Challenger",J105&gt;0,K105&gt;0,J105&gt;K105),1,0)</f>
        <v>0</v>
      </c>
    </row>
    <row r="106" customFormat="false" ht="15" hidden="false" customHeight="false" outlineLevel="0" collapsed="false">
      <c r="B106" s="15" t="n">
        <v>100</v>
      </c>
      <c r="C106" s="29"/>
      <c r="D106" s="10"/>
      <c r="E106" s="10"/>
      <c r="F106" s="30"/>
      <c r="G106" s="30"/>
      <c r="H106" s="17" t="str">
        <f aca="false">IF(OR(D106="",E106="",F106=""),"",IF(L106=1,D106&amp;" moves up to #"&amp;K106,IF(F106="Challenger",D106&amp;" wins · no change",E106&amp;" stays at #"&amp;K106)))</f>
        <v/>
      </c>
      <c r="J106" s="0" t="str">
        <f aca="false">IFERROR(INDEX(Engine!$CX$7:$CX$26,MATCH(D106,Engine!$B$7:$B$26,0)),0)</f>
        <v/>
      </c>
      <c r="K106" s="0" t="str">
        <f aca="false">IFERROR(INDEX(Engine!$CX$7:$CX$26,MATCH(E106,Engine!$B$7:$B$26,0)),0)</f>
        <v/>
      </c>
      <c r="L106" s="19" t="n">
        <f aca="false">IF(AND(D106&lt;&gt;"",E106&lt;&gt;"",D106&lt;&gt;E106,F106="Challenger",J106&gt;0,K106&gt;0,J106&gt;K106),1,0)</f>
        <v>0</v>
      </c>
    </row>
  </sheetData>
  <dataValidations count="2">
    <dataValidation allowBlank="true" errorStyle="stop" operator="between" showDropDown="false" showErrorMessage="false" showInputMessage="false" sqref="D7:E106" type="list">
      <formula1>Ladder!$C$7:$C$26</formula1>
      <formula2>0</formula2>
    </dataValidation>
    <dataValidation allowBlank="true" errorStyle="stop" operator="between" showDropDown="false" showErrorMessage="false" showInputMessage="false" sqref="F7:F106" type="list">
      <formula1>"Challenger,Defender"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2412D"/>
    <pageSetUpPr fitToPage="true"/>
  </sheetPr>
  <dimension ref="B2:CY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2" customFormat="false" ht="15" hidden="false" customHeight="false" outlineLevel="0" collapsed="false">
      <c r="B2" s="0" t="s">
        <v>106</v>
      </c>
    </row>
    <row r="6" customFormat="false" ht="15" hidden="false" customHeight="false" outlineLevel="0" collapsed="false">
      <c r="B6" s="0" t="s">
        <v>80</v>
      </c>
    </row>
    <row r="7" customFormat="false" ht="15" hidden="false" customHeight="false" outlineLevel="0" collapsed="false">
      <c r="B7" s="0" t="str">
        <f aca="false">IF(Ladder!$C7="","",Ladder!$C7)</f>
        <v>Olivia</v>
      </c>
      <c r="C7" s="0" t="n">
        <f aca="false">IF($B7="","",ROW()-6)</f>
        <v>1</v>
      </c>
      <c r="D7" s="0" t="n">
        <f aca="false">IF($B7="","",IF(Challenges!$L$7=1,IF($B7=Challenges!$D$7,Challenges!$K$7,IF(AND(C7&gt;=Challenges!$K$7,C7&lt;Challenges!$J$7),C7+1,C7)),C7))</f>
        <v>1</v>
      </c>
      <c r="E7" s="0" t="n">
        <f aca="false">IF($B7="","",IF(Challenges!$L$8=1,IF($B7=Challenges!$D$8,Challenges!$K$8,IF(AND(D7&gt;=Challenges!$K$8,D7&lt;Challenges!$J$8),D7+1,D7)),D7))</f>
        <v>1</v>
      </c>
      <c r="F7" s="0" t="n">
        <f aca="false">IF($B7="","",IF(Challenges!$L$9=1,IF($B7=Challenges!$D$9,Challenges!$K$9,IF(AND(E7&gt;=Challenges!$K$9,E7&lt;Challenges!$J$9),E7+1,E7)),E7))</f>
        <v>1</v>
      </c>
      <c r="G7" s="0" t="n">
        <f aca="false">IF($B7="","",IF(Challenges!$L$10=1,IF($B7=Challenges!$D$10,Challenges!$K$10,IF(AND(F7&gt;=Challenges!$K$10,F7&lt;Challenges!$J$10),F7+1,F7)),F7))</f>
        <v>2</v>
      </c>
      <c r="H7" s="0" t="n">
        <f aca="false">IF($B7="","",IF(Challenges!$L$11=1,IF($B7=Challenges!$D$11,Challenges!$K$11,IF(AND(G7&gt;=Challenges!$K$11,G7&lt;Challenges!$J$11),G7+1,G7)),G7))</f>
        <v>2</v>
      </c>
      <c r="I7" s="0" t="n">
        <f aca="false">IF($B7="","",IF(Challenges!$L$12=1,IF($B7=Challenges!$D$12,Challenges!$K$12,IF(AND(H7&gt;=Challenges!$K$12,H7&lt;Challenges!$J$12),H7+1,H7)),H7))</f>
        <v>2</v>
      </c>
      <c r="J7" s="0" t="n">
        <f aca="false">IF($B7="","",IF(Challenges!$L$13=1,IF($B7=Challenges!$D$13,Challenges!$K$13,IF(AND(I7&gt;=Challenges!$K$13,I7&lt;Challenges!$J$13),I7+1,I7)),I7))</f>
        <v>2</v>
      </c>
      <c r="K7" s="0" t="n">
        <f aca="false">IF($B7="","",IF(Challenges!$L$14=1,IF($B7=Challenges!$D$14,Challenges!$K$14,IF(AND(J7&gt;=Challenges!$K$14,J7&lt;Challenges!$J$14),J7+1,J7)),J7))</f>
        <v>2</v>
      </c>
      <c r="L7" s="0" t="n">
        <f aca="false">IF($B7="","",IF(Challenges!$L$15=1,IF($B7=Challenges!$D$15,Challenges!$K$15,IF(AND(K7&gt;=Challenges!$K$15,K7&lt;Challenges!$J$15),K7+1,K7)),K7))</f>
        <v>2</v>
      </c>
      <c r="M7" s="0" t="n">
        <f aca="false">IF($B7="","",IF(Challenges!$L$16=1,IF($B7=Challenges!$D$16,Challenges!$K$16,IF(AND(L7&gt;=Challenges!$K$16,L7&lt;Challenges!$J$16),L7+1,L7)),L7))</f>
        <v>2</v>
      </c>
      <c r="N7" s="0" t="n">
        <f aca="false">IF($B7="","",IF(Challenges!$L$17=1,IF($B7=Challenges!$D$17,Challenges!$K$17,IF(AND(M7&gt;=Challenges!$K$17,M7&lt;Challenges!$J$17),M7+1,M7)),M7))</f>
        <v>2</v>
      </c>
      <c r="O7" s="0" t="n">
        <f aca="false">IF($B7="","",IF(Challenges!$L$18=1,IF($B7=Challenges!$D$18,Challenges!$K$18,IF(AND(N7&gt;=Challenges!$K$18,N7&lt;Challenges!$J$18),N7+1,N7)),N7))</f>
        <v>2</v>
      </c>
      <c r="P7" s="0" t="n">
        <f aca="false">IF($B7="","",IF(Challenges!$L$19=1,IF($B7=Challenges!$D$19,Challenges!$K$19,IF(AND(O7&gt;=Challenges!$K$19,O7&lt;Challenges!$J$19),O7+1,O7)),O7))</f>
        <v>2</v>
      </c>
      <c r="Q7" s="0" t="n">
        <f aca="false">IF($B7="","",IF(Challenges!$L$20=1,IF($B7=Challenges!$D$20,Challenges!$K$20,IF(AND(P7&gt;=Challenges!$K$20,P7&lt;Challenges!$J$20),P7+1,P7)),P7))</f>
        <v>2</v>
      </c>
      <c r="R7" s="0" t="n">
        <f aca="false">IF($B7="","",IF(Challenges!$L$21=1,IF($B7=Challenges!$D$21,Challenges!$K$21,IF(AND(Q7&gt;=Challenges!$K$21,Q7&lt;Challenges!$J$21),Q7+1,Q7)),Q7))</f>
        <v>2</v>
      </c>
      <c r="S7" s="0" t="n">
        <f aca="false">IF($B7="","",IF(Challenges!$L$22=1,IF($B7=Challenges!$D$22,Challenges!$K$22,IF(AND(R7&gt;=Challenges!$K$22,R7&lt;Challenges!$J$22),R7+1,R7)),R7))</f>
        <v>2</v>
      </c>
      <c r="T7" s="0" t="n">
        <f aca="false">IF($B7="","",IF(Challenges!$L$23=1,IF($B7=Challenges!$D$23,Challenges!$K$23,IF(AND(S7&gt;=Challenges!$K$23,S7&lt;Challenges!$J$23),S7+1,S7)),S7))</f>
        <v>2</v>
      </c>
      <c r="U7" s="0" t="n">
        <f aca="false">IF($B7="","",IF(Challenges!$L$24=1,IF($B7=Challenges!$D$24,Challenges!$K$24,IF(AND(T7&gt;=Challenges!$K$24,T7&lt;Challenges!$J$24),T7+1,T7)),T7))</f>
        <v>2</v>
      </c>
      <c r="V7" s="0" t="n">
        <f aca="false">IF($B7="","",IF(Challenges!$L$25=1,IF($B7=Challenges!$D$25,Challenges!$K$25,IF(AND(U7&gt;=Challenges!$K$25,U7&lt;Challenges!$J$25),U7+1,U7)),U7))</f>
        <v>2</v>
      </c>
      <c r="W7" s="0" t="n">
        <f aca="false">IF($B7="","",IF(Challenges!$L$26=1,IF($B7=Challenges!$D$26,Challenges!$K$26,IF(AND(V7&gt;=Challenges!$K$26,V7&lt;Challenges!$J$26),V7+1,V7)),V7))</f>
        <v>2</v>
      </c>
      <c r="X7" s="0" t="n">
        <f aca="false">IF($B7="","",IF(Challenges!$L$27=1,IF($B7=Challenges!$D$27,Challenges!$K$27,IF(AND(W7&gt;=Challenges!$K$27,W7&lt;Challenges!$J$27),W7+1,W7)),W7))</f>
        <v>2</v>
      </c>
      <c r="Y7" s="0" t="n">
        <f aca="false">IF($B7="","",IF(Challenges!$L$28=1,IF($B7=Challenges!$D$28,Challenges!$K$28,IF(AND(X7&gt;=Challenges!$K$28,X7&lt;Challenges!$J$28),X7+1,X7)),X7))</f>
        <v>2</v>
      </c>
      <c r="Z7" s="0" t="n">
        <f aca="false">IF($B7="","",IF(Challenges!$L$29=1,IF($B7=Challenges!$D$29,Challenges!$K$29,IF(AND(Y7&gt;=Challenges!$K$29,Y7&lt;Challenges!$J$29),Y7+1,Y7)),Y7))</f>
        <v>2</v>
      </c>
      <c r="AA7" s="0" t="n">
        <f aca="false">IF($B7="","",IF(Challenges!$L$30=1,IF($B7=Challenges!$D$30,Challenges!$K$30,IF(AND(Z7&gt;=Challenges!$K$30,Z7&lt;Challenges!$J$30),Z7+1,Z7)),Z7))</f>
        <v>2</v>
      </c>
      <c r="AB7" s="0" t="n">
        <f aca="false">IF($B7="","",IF(Challenges!$L$31=1,IF($B7=Challenges!$D$31,Challenges!$K$31,IF(AND(AA7&gt;=Challenges!$K$31,AA7&lt;Challenges!$J$31),AA7+1,AA7)),AA7))</f>
        <v>2</v>
      </c>
      <c r="AC7" s="0" t="n">
        <f aca="false">IF($B7="","",IF(Challenges!$L$32=1,IF($B7=Challenges!$D$32,Challenges!$K$32,IF(AND(AB7&gt;=Challenges!$K$32,AB7&lt;Challenges!$J$32),AB7+1,AB7)),AB7))</f>
        <v>2</v>
      </c>
      <c r="AD7" s="0" t="n">
        <f aca="false">IF($B7="","",IF(Challenges!$L$33=1,IF($B7=Challenges!$D$33,Challenges!$K$33,IF(AND(AC7&gt;=Challenges!$K$33,AC7&lt;Challenges!$J$33),AC7+1,AC7)),AC7))</f>
        <v>2</v>
      </c>
      <c r="AE7" s="0" t="n">
        <f aca="false">IF($B7="","",IF(Challenges!$L$34=1,IF($B7=Challenges!$D$34,Challenges!$K$34,IF(AND(AD7&gt;=Challenges!$K$34,AD7&lt;Challenges!$J$34),AD7+1,AD7)),AD7))</f>
        <v>2</v>
      </c>
      <c r="AF7" s="0" t="n">
        <f aca="false">IF($B7="","",IF(Challenges!$L$35=1,IF($B7=Challenges!$D$35,Challenges!$K$35,IF(AND(AE7&gt;=Challenges!$K$35,AE7&lt;Challenges!$J$35),AE7+1,AE7)),AE7))</f>
        <v>2</v>
      </c>
      <c r="AG7" s="0" t="n">
        <f aca="false">IF($B7="","",IF(Challenges!$L$36=1,IF($B7=Challenges!$D$36,Challenges!$K$36,IF(AND(AF7&gt;=Challenges!$K$36,AF7&lt;Challenges!$J$36),AF7+1,AF7)),AF7))</f>
        <v>2</v>
      </c>
      <c r="AH7" s="0" t="n">
        <f aca="false">IF($B7="","",IF(Challenges!$L$37=1,IF($B7=Challenges!$D$37,Challenges!$K$37,IF(AND(AG7&gt;=Challenges!$K$37,AG7&lt;Challenges!$J$37),AG7+1,AG7)),AG7))</f>
        <v>2</v>
      </c>
      <c r="AI7" s="0" t="n">
        <f aca="false">IF($B7="","",IF(Challenges!$L$38=1,IF($B7=Challenges!$D$38,Challenges!$K$38,IF(AND(AH7&gt;=Challenges!$K$38,AH7&lt;Challenges!$J$38),AH7+1,AH7)),AH7))</f>
        <v>2</v>
      </c>
      <c r="AJ7" s="0" t="n">
        <f aca="false">IF($B7="","",IF(Challenges!$L$39=1,IF($B7=Challenges!$D$39,Challenges!$K$39,IF(AND(AI7&gt;=Challenges!$K$39,AI7&lt;Challenges!$J$39),AI7+1,AI7)),AI7))</f>
        <v>2</v>
      </c>
      <c r="AK7" s="0" t="n">
        <f aca="false">IF($B7="","",IF(Challenges!$L$40=1,IF($B7=Challenges!$D$40,Challenges!$K$40,IF(AND(AJ7&gt;=Challenges!$K$40,AJ7&lt;Challenges!$J$40),AJ7+1,AJ7)),AJ7))</f>
        <v>2</v>
      </c>
      <c r="AL7" s="0" t="n">
        <f aca="false">IF($B7="","",IF(Challenges!$L$41=1,IF($B7=Challenges!$D$41,Challenges!$K$41,IF(AND(AK7&gt;=Challenges!$K$41,AK7&lt;Challenges!$J$41),AK7+1,AK7)),AK7))</f>
        <v>2</v>
      </c>
      <c r="AM7" s="0" t="n">
        <f aca="false">IF($B7="","",IF(Challenges!$L$42=1,IF($B7=Challenges!$D$42,Challenges!$K$42,IF(AND(AL7&gt;=Challenges!$K$42,AL7&lt;Challenges!$J$42),AL7+1,AL7)),AL7))</f>
        <v>2</v>
      </c>
      <c r="AN7" s="0" t="n">
        <f aca="false">IF($B7="","",IF(Challenges!$L$43=1,IF($B7=Challenges!$D$43,Challenges!$K$43,IF(AND(AM7&gt;=Challenges!$K$43,AM7&lt;Challenges!$J$43),AM7+1,AM7)),AM7))</f>
        <v>2</v>
      </c>
      <c r="AO7" s="0" t="n">
        <f aca="false">IF($B7="","",IF(Challenges!$L$44=1,IF($B7=Challenges!$D$44,Challenges!$K$44,IF(AND(AN7&gt;=Challenges!$K$44,AN7&lt;Challenges!$J$44),AN7+1,AN7)),AN7))</f>
        <v>2</v>
      </c>
      <c r="AP7" s="0" t="n">
        <f aca="false">IF($B7="","",IF(Challenges!$L$45=1,IF($B7=Challenges!$D$45,Challenges!$K$45,IF(AND(AO7&gt;=Challenges!$K$45,AO7&lt;Challenges!$J$45),AO7+1,AO7)),AO7))</f>
        <v>2</v>
      </c>
      <c r="AQ7" s="0" t="n">
        <f aca="false">IF($B7="","",IF(Challenges!$L$46=1,IF($B7=Challenges!$D$46,Challenges!$K$46,IF(AND(AP7&gt;=Challenges!$K$46,AP7&lt;Challenges!$J$46),AP7+1,AP7)),AP7))</f>
        <v>2</v>
      </c>
      <c r="AR7" s="0" t="n">
        <f aca="false">IF($B7="","",IF(Challenges!$L$47=1,IF($B7=Challenges!$D$47,Challenges!$K$47,IF(AND(AQ7&gt;=Challenges!$K$47,AQ7&lt;Challenges!$J$47),AQ7+1,AQ7)),AQ7))</f>
        <v>2</v>
      </c>
      <c r="AS7" s="0" t="n">
        <f aca="false">IF($B7="","",IF(Challenges!$L$48=1,IF($B7=Challenges!$D$48,Challenges!$K$48,IF(AND(AR7&gt;=Challenges!$K$48,AR7&lt;Challenges!$J$48),AR7+1,AR7)),AR7))</f>
        <v>2</v>
      </c>
      <c r="AT7" s="0" t="n">
        <f aca="false">IF($B7="","",IF(Challenges!$L$49=1,IF($B7=Challenges!$D$49,Challenges!$K$49,IF(AND(AS7&gt;=Challenges!$K$49,AS7&lt;Challenges!$J$49),AS7+1,AS7)),AS7))</f>
        <v>2</v>
      </c>
      <c r="AU7" s="0" t="n">
        <f aca="false">IF($B7="","",IF(Challenges!$L$50=1,IF($B7=Challenges!$D$50,Challenges!$K$50,IF(AND(AT7&gt;=Challenges!$K$50,AT7&lt;Challenges!$J$50),AT7+1,AT7)),AT7))</f>
        <v>2</v>
      </c>
      <c r="AV7" s="0" t="n">
        <f aca="false">IF($B7="","",IF(Challenges!$L$51=1,IF($B7=Challenges!$D$51,Challenges!$K$51,IF(AND(AU7&gt;=Challenges!$K$51,AU7&lt;Challenges!$J$51),AU7+1,AU7)),AU7))</f>
        <v>2</v>
      </c>
      <c r="AW7" s="0" t="n">
        <f aca="false">IF($B7="","",IF(Challenges!$L$52=1,IF($B7=Challenges!$D$52,Challenges!$K$52,IF(AND(AV7&gt;=Challenges!$K$52,AV7&lt;Challenges!$J$52),AV7+1,AV7)),AV7))</f>
        <v>2</v>
      </c>
      <c r="AX7" s="0" t="n">
        <f aca="false">IF($B7="","",IF(Challenges!$L$53=1,IF($B7=Challenges!$D$53,Challenges!$K$53,IF(AND(AW7&gt;=Challenges!$K$53,AW7&lt;Challenges!$J$53),AW7+1,AW7)),AW7))</f>
        <v>2</v>
      </c>
      <c r="AY7" s="0" t="n">
        <f aca="false">IF($B7="","",IF(Challenges!$L$54=1,IF($B7=Challenges!$D$54,Challenges!$K$54,IF(AND(AX7&gt;=Challenges!$K$54,AX7&lt;Challenges!$J$54),AX7+1,AX7)),AX7))</f>
        <v>2</v>
      </c>
      <c r="AZ7" s="0" t="n">
        <f aca="false">IF($B7="","",IF(Challenges!$L$55=1,IF($B7=Challenges!$D$55,Challenges!$K$55,IF(AND(AY7&gt;=Challenges!$K$55,AY7&lt;Challenges!$J$55),AY7+1,AY7)),AY7))</f>
        <v>2</v>
      </c>
      <c r="BA7" s="0" t="n">
        <f aca="false">IF($B7="","",IF(Challenges!$L$56=1,IF($B7=Challenges!$D$56,Challenges!$K$56,IF(AND(AZ7&gt;=Challenges!$K$56,AZ7&lt;Challenges!$J$56),AZ7+1,AZ7)),AZ7))</f>
        <v>2</v>
      </c>
      <c r="BB7" s="0" t="n">
        <f aca="false">IF($B7="","",IF(Challenges!$L$57=1,IF($B7=Challenges!$D$57,Challenges!$K$57,IF(AND(BA7&gt;=Challenges!$K$57,BA7&lt;Challenges!$J$57),BA7+1,BA7)),BA7))</f>
        <v>2</v>
      </c>
      <c r="BC7" s="0" t="n">
        <f aca="false">IF($B7="","",IF(Challenges!$L$58=1,IF($B7=Challenges!$D$58,Challenges!$K$58,IF(AND(BB7&gt;=Challenges!$K$58,BB7&lt;Challenges!$J$58),BB7+1,BB7)),BB7))</f>
        <v>2</v>
      </c>
      <c r="BD7" s="0" t="n">
        <f aca="false">IF($B7="","",IF(Challenges!$L$59=1,IF($B7=Challenges!$D$59,Challenges!$K$59,IF(AND(BC7&gt;=Challenges!$K$59,BC7&lt;Challenges!$J$59),BC7+1,BC7)),BC7))</f>
        <v>2</v>
      </c>
      <c r="BE7" s="0" t="n">
        <f aca="false">IF($B7="","",IF(Challenges!$L$60=1,IF($B7=Challenges!$D$60,Challenges!$K$60,IF(AND(BD7&gt;=Challenges!$K$60,BD7&lt;Challenges!$J$60),BD7+1,BD7)),BD7))</f>
        <v>2</v>
      </c>
      <c r="BF7" s="0" t="n">
        <f aca="false">IF($B7="","",IF(Challenges!$L$61=1,IF($B7=Challenges!$D$61,Challenges!$K$61,IF(AND(BE7&gt;=Challenges!$K$61,BE7&lt;Challenges!$J$61),BE7+1,BE7)),BE7))</f>
        <v>2</v>
      </c>
      <c r="BG7" s="0" t="n">
        <f aca="false">IF($B7="","",IF(Challenges!$L$62=1,IF($B7=Challenges!$D$62,Challenges!$K$62,IF(AND(BF7&gt;=Challenges!$K$62,BF7&lt;Challenges!$J$62),BF7+1,BF7)),BF7))</f>
        <v>2</v>
      </c>
      <c r="BH7" s="0" t="n">
        <f aca="false">IF($B7="","",IF(Challenges!$L$63=1,IF($B7=Challenges!$D$63,Challenges!$K$63,IF(AND(BG7&gt;=Challenges!$K$63,BG7&lt;Challenges!$J$63),BG7+1,BG7)),BG7))</f>
        <v>2</v>
      </c>
      <c r="BI7" s="0" t="n">
        <f aca="false">IF($B7="","",IF(Challenges!$L$64=1,IF($B7=Challenges!$D$64,Challenges!$K$64,IF(AND(BH7&gt;=Challenges!$K$64,BH7&lt;Challenges!$J$64),BH7+1,BH7)),BH7))</f>
        <v>2</v>
      </c>
      <c r="BJ7" s="0" t="n">
        <f aca="false">IF($B7="","",IF(Challenges!$L$65=1,IF($B7=Challenges!$D$65,Challenges!$K$65,IF(AND(BI7&gt;=Challenges!$K$65,BI7&lt;Challenges!$J$65),BI7+1,BI7)),BI7))</f>
        <v>2</v>
      </c>
      <c r="BK7" s="0" t="n">
        <f aca="false">IF($B7="","",IF(Challenges!$L$66=1,IF($B7=Challenges!$D$66,Challenges!$K$66,IF(AND(BJ7&gt;=Challenges!$K$66,BJ7&lt;Challenges!$J$66),BJ7+1,BJ7)),BJ7))</f>
        <v>2</v>
      </c>
      <c r="BL7" s="0" t="n">
        <f aca="false">IF($B7="","",IF(Challenges!$L$67=1,IF($B7=Challenges!$D$67,Challenges!$K$67,IF(AND(BK7&gt;=Challenges!$K$67,BK7&lt;Challenges!$J$67),BK7+1,BK7)),BK7))</f>
        <v>2</v>
      </c>
      <c r="BM7" s="0" t="n">
        <f aca="false">IF($B7="","",IF(Challenges!$L$68=1,IF($B7=Challenges!$D$68,Challenges!$K$68,IF(AND(BL7&gt;=Challenges!$K$68,BL7&lt;Challenges!$J$68),BL7+1,BL7)),BL7))</f>
        <v>2</v>
      </c>
      <c r="BN7" s="0" t="n">
        <f aca="false">IF($B7="","",IF(Challenges!$L$69=1,IF($B7=Challenges!$D$69,Challenges!$K$69,IF(AND(BM7&gt;=Challenges!$K$69,BM7&lt;Challenges!$J$69),BM7+1,BM7)),BM7))</f>
        <v>2</v>
      </c>
      <c r="BO7" s="0" t="n">
        <f aca="false">IF($B7="","",IF(Challenges!$L$70=1,IF($B7=Challenges!$D$70,Challenges!$K$70,IF(AND(BN7&gt;=Challenges!$K$70,BN7&lt;Challenges!$J$70),BN7+1,BN7)),BN7))</f>
        <v>2</v>
      </c>
      <c r="BP7" s="0" t="n">
        <f aca="false">IF($B7="","",IF(Challenges!$L$71=1,IF($B7=Challenges!$D$71,Challenges!$K$71,IF(AND(BO7&gt;=Challenges!$K$71,BO7&lt;Challenges!$J$71),BO7+1,BO7)),BO7))</f>
        <v>2</v>
      </c>
      <c r="BQ7" s="0" t="n">
        <f aca="false">IF($B7="","",IF(Challenges!$L$72=1,IF($B7=Challenges!$D$72,Challenges!$K$72,IF(AND(BP7&gt;=Challenges!$K$72,BP7&lt;Challenges!$J$72),BP7+1,BP7)),BP7))</f>
        <v>2</v>
      </c>
      <c r="BR7" s="0" t="n">
        <f aca="false">IF($B7="","",IF(Challenges!$L$73=1,IF($B7=Challenges!$D$73,Challenges!$K$73,IF(AND(BQ7&gt;=Challenges!$K$73,BQ7&lt;Challenges!$J$73),BQ7+1,BQ7)),BQ7))</f>
        <v>2</v>
      </c>
      <c r="BS7" s="0" t="n">
        <f aca="false">IF($B7="","",IF(Challenges!$L$74=1,IF($B7=Challenges!$D$74,Challenges!$K$74,IF(AND(BR7&gt;=Challenges!$K$74,BR7&lt;Challenges!$J$74),BR7+1,BR7)),BR7))</f>
        <v>2</v>
      </c>
      <c r="BT7" s="0" t="n">
        <f aca="false">IF($B7="","",IF(Challenges!$L$75=1,IF($B7=Challenges!$D$75,Challenges!$K$75,IF(AND(BS7&gt;=Challenges!$K$75,BS7&lt;Challenges!$J$75),BS7+1,BS7)),BS7))</f>
        <v>2</v>
      </c>
      <c r="BU7" s="0" t="n">
        <f aca="false">IF($B7="","",IF(Challenges!$L$76=1,IF($B7=Challenges!$D$76,Challenges!$K$76,IF(AND(BT7&gt;=Challenges!$K$76,BT7&lt;Challenges!$J$76),BT7+1,BT7)),BT7))</f>
        <v>2</v>
      </c>
      <c r="BV7" s="0" t="n">
        <f aca="false">IF($B7="","",IF(Challenges!$L$77=1,IF($B7=Challenges!$D$77,Challenges!$K$77,IF(AND(BU7&gt;=Challenges!$K$77,BU7&lt;Challenges!$J$77),BU7+1,BU7)),BU7))</f>
        <v>2</v>
      </c>
      <c r="BW7" s="0" t="n">
        <f aca="false">IF($B7="","",IF(Challenges!$L$78=1,IF($B7=Challenges!$D$78,Challenges!$K$78,IF(AND(BV7&gt;=Challenges!$K$78,BV7&lt;Challenges!$J$78),BV7+1,BV7)),BV7))</f>
        <v>2</v>
      </c>
      <c r="BX7" s="0" t="n">
        <f aca="false">IF($B7="","",IF(Challenges!$L$79=1,IF($B7=Challenges!$D$79,Challenges!$K$79,IF(AND(BW7&gt;=Challenges!$K$79,BW7&lt;Challenges!$J$79),BW7+1,BW7)),BW7))</f>
        <v>2</v>
      </c>
      <c r="BY7" s="0" t="n">
        <f aca="false">IF($B7="","",IF(Challenges!$L$80=1,IF($B7=Challenges!$D$80,Challenges!$K$80,IF(AND(BX7&gt;=Challenges!$K$80,BX7&lt;Challenges!$J$80),BX7+1,BX7)),BX7))</f>
        <v>2</v>
      </c>
      <c r="BZ7" s="0" t="n">
        <f aca="false">IF($B7="","",IF(Challenges!$L$81=1,IF($B7=Challenges!$D$81,Challenges!$K$81,IF(AND(BY7&gt;=Challenges!$K$81,BY7&lt;Challenges!$J$81),BY7+1,BY7)),BY7))</f>
        <v>2</v>
      </c>
      <c r="CA7" s="0" t="n">
        <f aca="false">IF($B7="","",IF(Challenges!$L$82=1,IF($B7=Challenges!$D$82,Challenges!$K$82,IF(AND(BZ7&gt;=Challenges!$K$82,BZ7&lt;Challenges!$J$82),BZ7+1,BZ7)),BZ7))</f>
        <v>2</v>
      </c>
      <c r="CB7" s="0" t="n">
        <f aca="false">IF($B7="","",IF(Challenges!$L$83=1,IF($B7=Challenges!$D$83,Challenges!$K$83,IF(AND(CA7&gt;=Challenges!$K$83,CA7&lt;Challenges!$J$83),CA7+1,CA7)),CA7))</f>
        <v>2</v>
      </c>
      <c r="CC7" s="0" t="n">
        <f aca="false">IF($B7="","",IF(Challenges!$L$84=1,IF($B7=Challenges!$D$84,Challenges!$K$84,IF(AND(CB7&gt;=Challenges!$K$84,CB7&lt;Challenges!$J$84),CB7+1,CB7)),CB7))</f>
        <v>2</v>
      </c>
      <c r="CD7" s="0" t="n">
        <f aca="false">IF($B7="","",IF(Challenges!$L$85=1,IF($B7=Challenges!$D$85,Challenges!$K$85,IF(AND(CC7&gt;=Challenges!$K$85,CC7&lt;Challenges!$J$85),CC7+1,CC7)),CC7))</f>
        <v>2</v>
      </c>
      <c r="CE7" s="0" t="n">
        <f aca="false">IF($B7="","",IF(Challenges!$L$86=1,IF($B7=Challenges!$D$86,Challenges!$K$86,IF(AND(CD7&gt;=Challenges!$K$86,CD7&lt;Challenges!$J$86),CD7+1,CD7)),CD7))</f>
        <v>2</v>
      </c>
      <c r="CF7" s="0" t="n">
        <f aca="false">IF($B7="","",IF(Challenges!$L$87=1,IF($B7=Challenges!$D$87,Challenges!$K$87,IF(AND(CE7&gt;=Challenges!$K$87,CE7&lt;Challenges!$J$87),CE7+1,CE7)),CE7))</f>
        <v>2</v>
      </c>
      <c r="CG7" s="0" t="n">
        <f aca="false">IF($B7="","",IF(Challenges!$L$88=1,IF($B7=Challenges!$D$88,Challenges!$K$88,IF(AND(CF7&gt;=Challenges!$K$88,CF7&lt;Challenges!$J$88),CF7+1,CF7)),CF7))</f>
        <v>2</v>
      </c>
      <c r="CH7" s="0" t="n">
        <f aca="false">IF($B7="","",IF(Challenges!$L$89=1,IF($B7=Challenges!$D$89,Challenges!$K$89,IF(AND(CG7&gt;=Challenges!$K$89,CG7&lt;Challenges!$J$89),CG7+1,CG7)),CG7))</f>
        <v>2</v>
      </c>
      <c r="CI7" s="0" t="n">
        <f aca="false">IF($B7="","",IF(Challenges!$L$90=1,IF($B7=Challenges!$D$90,Challenges!$K$90,IF(AND(CH7&gt;=Challenges!$K$90,CH7&lt;Challenges!$J$90),CH7+1,CH7)),CH7))</f>
        <v>2</v>
      </c>
      <c r="CJ7" s="0" t="n">
        <f aca="false">IF($B7="","",IF(Challenges!$L$91=1,IF($B7=Challenges!$D$91,Challenges!$K$91,IF(AND(CI7&gt;=Challenges!$K$91,CI7&lt;Challenges!$J$91),CI7+1,CI7)),CI7))</f>
        <v>2</v>
      </c>
      <c r="CK7" s="0" t="n">
        <f aca="false">IF($B7="","",IF(Challenges!$L$92=1,IF($B7=Challenges!$D$92,Challenges!$K$92,IF(AND(CJ7&gt;=Challenges!$K$92,CJ7&lt;Challenges!$J$92),CJ7+1,CJ7)),CJ7))</f>
        <v>2</v>
      </c>
      <c r="CL7" s="0" t="n">
        <f aca="false">IF($B7="","",IF(Challenges!$L$93=1,IF($B7=Challenges!$D$93,Challenges!$K$93,IF(AND(CK7&gt;=Challenges!$K$93,CK7&lt;Challenges!$J$93),CK7+1,CK7)),CK7))</f>
        <v>2</v>
      </c>
      <c r="CM7" s="0" t="n">
        <f aca="false">IF($B7="","",IF(Challenges!$L$94=1,IF($B7=Challenges!$D$94,Challenges!$K$94,IF(AND(CL7&gt;=Challenges!$K$94,CL7&lt;Challenges!$J$94),CL7+1,CL7)),CL7))</f>
        <v>2</v>
      </c>
      <c r="CN7" s="0" t="n">
        <f aca="false">IF($B7="","",IF(Challenges!$L$95=1,IF($B7=Challenges!$D$95,Challenges!$K$95,IF(AND(CM7&gt;=Challenges!$K$95,CM7&lt;Challenges!$J$95),CM7+1,CM7)),CM7))</f>
        <v>2</v>
      </c>
      <c r="CO7" s="0" t="n">
        <f aca="false">IF($B7="","",IF(Challenges!$L$96=1,IF($B7=Challenges!$D$96,Challenges!$K$96,IF(AND(CN7&gt;=Challenges!$K$96,CN7&lt;Challenges!$J$96),CN7+1,CN7)),CN7))</f>
        <v>2</v>
      </c>
      <c r="CP7" s="0" t="n">
        <f aca="false">IF($B7="","",IF(Challenges!$L$97=1,IF($B7=Challenges!$D$97,Challenges!$K$97,IF(AND(CO7&gt;=Challenges!$K$97,CO7&lt;Challenges!$J$97),CO7+1,CO7)),CO7))</f>
        <v>2</v>
      </c>
      <c r="CQ7" s="0" t="n">
        <f aca="false">IF($B7="","",IF(Challenges!$L$98=1,IF($B7=Challenges!$D$98,Challenges!$K$98,IF(AND(CP7&gt;=Challenges!$K$98,CP7&lt;Challenges!$J$98),CP7+1,CP7)),CP7))</f>
        <v>2</v>
      </c>
      <c r="CR7" s="0" t="n">
        <f aca="false">IF($B7="","",IF(Challenges!$L$99=1,IF($B7=Challenges!$D$99,Challenges!$K$99,IF(AND(CQ7&gt;=Challenges!$K$99,CQ7&lt;Challenges!$J$99),CQ7+1,CQ7)),CQ7))</f>
        <v>2</v>
      </c>
      <c r="CS7" s="0" t="n">
        <f aca="false">IF($B7="","",IF(Challenges!$L$100=1,IF($B7=Challenges!$D$100,Challenges!$K$100,IF(AND(CR7&gt;=Challenges!$K$100,CR7&lt;Challenges!$J$100),CR7+1,CR7)),CR7))</f>
        <v>2</v>
      </c>
      <c r="CT7" s="0" t="n">
        <f aca="false">IF($B7="","",IF(Challenges!$L$101=1,IF($B7=Challenges!$D$101,Challenges!$K$101,IF(AND(CS7&gt;=Challenges!$K$101,CS7&lt;Challenges!$J$101),CS7+1,CS7)),CS7))</f>
        <v>2</v>
      </c>
      <c r="CU7" s="0" t="n">
        <f aca="false">IF($B7="","",IF(Challenges!$L$102=1,IF($B7=Challenges!$D$102,Challenges!$K$102,IF(AND(CT7&gt;=Challenges!$K$102,CT7&lt;Challenges!$J$102),CT7+1,CT7)),CT7))</f>
        <v>2</v>
      </c>
      <c r="CV7" s="0" t="n">
        <f aca="false">IF($B7="","",IF(Challenges!$L$103=1,IF($B7=Challenges!$D$103,Challenges!$K$103,IF(AND(CU7&gt;=Challenges!$K$103,CU7&lt;Challenges!$J$103),CU7+1,CU7)),CU7))</f>
        <v>2</v>
      </c>
      <c r="CW7" s="0" t="n">
        <f aca="false">IF($B7="","",IF(Challenges!$L$104=1,IF($B7=Challenges!$D$104,Challenges!$K$104,IF(AND(CV7&gt;=Challenges!$K$104,CV7&lt;Challenges!$J$104),CV7+1,CV7)),CV7))</f>
        <v>2</v>
      </c>
      <c r="CX7" s="0" t="n">
        <f aca="false">IF($B7="","",IF(Challenges!$L$105=1,IF($B7=Challenges!$D$105,Challenges!$K$105,IF(AND(CW7&gt;=Challenges!$K$105,CW7&lt;Challenges!$J$105),CW7+1,CW7)),CW7))</f>
        <v>2</v>
      </c>
      <c r="CY7" s="0" t="n">
        <f aca="false">IF($B7="","",IF(Challenges!$L$106=1,IF($B7=Challenges!$D$106,Challenges!$K$106,IF(AND(CX7&gt;=Challenges!$K$106,CX7&lt;Challenges!$J$106),CX7+1,CX7)),CX7))</f>
        <v>2</v>
      </c>
    </row>
    <row r="8" customFormat="false" ht="15" hidden="false" customHeight="false" outlineLevel="0" collapsed="false">
      <c r="B8" s="0" t="str">
        <f aca="false">IF(Ladder!$C8="","",Ladder!$C8)</f>
        <v>Marcus</v>
      </c>
      <c r="C8" s="0" t="n">
        <f aca="false">IF($B8="","",ROW()-6)</f>
        <v>2</v>
      </c>
      <c r="D8" s="0" t="n">
        <f aca="false">IF($B8="","",IF(Challenges!$L$7=1,IF($B8=Challenges!$D$7,Challenges!$K$7,IF(AND(C8&gt;=Challenges!$K$7,C8&lt;Challenges!$J$7),C8+1,C8)),C8))</f>
        <v>2</v>
      </c>
      <c r="E8" s="0" t="n">
        <f aca="false">IF($B8="","",IF(Challenges!$L$8=1,IF($B8=Challenges!$D$8,Challenges!$K$8,IF(AND(D8&gt;=Challenges!$K$8,D8&lt;Challenges!$J$8),D8+1,D8)),D8))</f>
        <v>2</v>
      </c>
      <c r="F8" s="0" t="n">
        <f aca="false">IF($B8="","",IF(Challenges!$L$9=1,IF($B8=Challenges!$D$9,Challenges!$K$9,IF(AND(E8&gt;=Challenges!$K$9,E8&lt;Challenges!$J$9),E8+1,E8)),E8))</f>
        <v>2</v>
      </c>
      <c r="G8" s="0" t="n">
        <f aca="false">IF($B8="","",IF(Challenges!$L$10=1,IF($B8=Challenges!$D$10,Challenges!$K$10,IF(AND(F8&gt;=Challenges!$K$10,F8&lt;Challenges!$J$10),F8+1,F8)),F8))</f>
        <v>1</v>
      </c>
      <c r="H8" s="0" t="n">
        <f aca="false">IF($B8="","",IF(Challenges!$L$11=1,IF($B8=Challenges!$D$11,Challenges!$K$11,IF(AND(G8&gt;=Challenges!$K$11,G8&lt;Challenges!$J$11),G8+1,G8)),G8))</f>
        <v>1</v>
      </c>
      <c r="I8" s="0" t="n">
        <f aca="false">IF($B8="","",IF(Challenges!$L$12=1,IF($B8=Challenges!$D$12,Challenges!$K$12,IF(AND(H8&gt;=Challenges!$K$12,H8&lt;Challenges!$J$12),H8+1,H8)),H8))</f>
        <v>1</v>
      </c>
      <c r="J8" s="0" t="n">
        <f aca="false">IF($B8="","",IF(Challenges!$L$13=1,IF($B8=Challenges!$D$13,Challenges!$K$13,IF(AND(I8&gt;=Challenges!$K$13,I8&lt;Challenges!$J$13),I8+1,I8)),I8))</f>
        <v>1</v>
      </c>
      <c r="K8" s="0" t="n">
        <f aca="false">IF($B8="","",IF(Challenges!$L$14=1,IF($B8=Challenges!$D$14,Challenges!$K$14,IF(AND(J8&gt;=Challenges!$K$14,J8&lt;Challenges!$J$14),J8+1,J8)),J8))</f>
        <v>1</v>
      </c>
      <c r="L8" s="0" t="n">
        <f aca="false">IF($B8="","",IF(Challenges!$L$15=1,IF($B8=Challenges!$D$15,Challenges!$K$15,IF(AND(K8&gt;=Challenges!$K$15,K8&lt;Challenges!$J$15),K8+1,K8)),K8))</f>
        <v>1</v>
      </c>
      <c r="M8" s="0" t="n">
        <f aca="false">IF($B8="","",IF(Challenges!$L$16=1,IF($B8=Challenges!$D$16,Challenges!$K$16,IF(AND(L8&gt;=Challenges!$K$16,L8&lt;Challenges!$J$16),L8+1,L8)),L8))</f>
        <v>1</v>
      </c>
      <c r="N8" s="0" t="n">
        <f aca="false">IF($B8="","",IF(Challenges!$L$17=1,IF($B8=Challenges!$D$17,Challenges!$K$17,IF(AND(M8&gt;=Challenges!$K$17,M8&lt;Challenges!$J$17),M8+1,M8)),M8))</f>
        <v>1</v>
      </c>
      <c r="O8" s="0" t="n">
        <f aca="false">IF($B8="","",IF(Challenges!$L$18=1,IF($B8=Challenges!$D$18,Challenges!$K$18,IF(AND(N8&gt;=Challenges!$K$18,N8&lt;Challenges!$J$18),N8+1,N8)),N8))</f>
        <v>1</v>
      </c>
      <c r="P8" s="0" t="n">
        <f aca="false">IF($B8="","",IF(Challenges!$L$19=1,IF($B8=Challenges!$D$19,Challenges!$K$19,IF(AND(O8&gt;=Challenges!$K$19,O8&lt;Challenges!$J$19),O8+1,O8)),O8))</f>
        <v>1</v>
      </c>
      <c r="Q8" s="0" t="n">
        <f aca="false">IF($B8="","",IF(Challenges!$L$20=1,IF($B8=Challenges!$D$20,Challenges!$K$20,IF(AND(P8&gt;=Challenges!$K$20,P8&lt;Challenges!$J$20),P8+1,P8)),P8))</f>
        <v>1</v>
      </c>
      <c r="R8" s="0" t="n">
        <f aca="false">IF($B8="","",IF(Challenges!$L$21=1,IF($B8=Challenges!$D$21,Challenges!$K$21,IF(AND(Q8&gt;=Challenges!$K$21,Q8&lt;Challenges!$J$21),Q8+1,Q8)),Q8))</f>
        <v>1</v>
      </c>
      <c r="S8" s="0" t="n">
        <f aca="false">IF($B8="","",IF(Challenges!$L$22=1,IF($B8=Challenges!$D$22,Challenges!$K$22,IF(AND(R8&gt;=Challenges!$K$22,R8&lt;Challenges!$J$22),R8+1,R8)),R8))</f>
        <v>1</v>
      </c>
      <c r="T8" s="0" t="n">
        <f aca="false">IF($B8="","",IF(Challenges!$L$23=1,IF($B8=Challenges!$D$23,Challenges!$K$23,IF(AND(S8&gt;=Challenges!$K$23,S8&lt;Challenges!$J$23),S8+1,S8)),S8))</f>
        <v>1</v>
      </c>
      <c r="U8" s="0" t="n">
        <f aca="false">IF($B8="","",IF(Challenges!$L$24=1,IF($B8=Challenges!$D$24,Challenges!$K$24,IF(AND(T8&gt;=Challenges!$K$24,T8&lt;Challenges!$J$24),T8+1,T8)),T8))</f>
        <v>1</v>
      </c>
      <c r="V8" s="0" t="n">
        <f aca="false">IF($B8="","",IF(Challenges!$L$25=1,IF($B8=Challenges!$D$25,Challenges!$K$25,IF(AND(U8&gt;=Challenges!$K$25,U8&lt;Challenges!$J$25),U8+1,U8)),U8))</f>
        <v>1</v>
      </c>
      <c r="W8" s="0" t="n">
        <f aca="false">IF($B8="","",IF(Challenges!$L$26=1,IF($B8=Challenges!$D$26,Challenges!$K$26,IF(AND(V8&gt;=Challenges!$K$26,V8&lt;Challenges!$J$26),V8+1,V8)),V8))</f>
        <v>1</v>
      </c>
      <c r="X8" s="0" t="n">
        <f aca="false">IF($B8="","",IF(Challenges!$L$27=1,IF($B8=Challenges!$D$27,Challenges!$K$27,IF(AND(W8&gt;=Challenges!$K$27,W8&lt;Challenges!$J$27),W8+1,W8)),W8))</f>
        <v>1</v>
      </c>
      <c r="Y8" s="0" t="n">
        <f aca="false">IF($B8="","",IF(Challenges!$L$28=1,IF($B8=Challenges!$D$28,Challenges!$K$28,IF(AND(X8&gt;=Challenges!$K$28,X8&lt;Challenges!$J$28),X8+1,X8)),X8))</f>
        <v>1</v>
      </c>
      <c r="Z8" s="0" t="n">
        <f aca="false">IF($B8="","",IF(Challenges!$L$29=1,IF($B8=Challenges!$D$29,Challenges!$K$29,IF(AND(Y8&gt;=Challenges!$K$29,Y8&lt;Challenges!$J$29),Y8+1,Y8)),Y8))</f>
        <v>1</v>
      </c>
      <c r="AA8" s="0" t="n">
        <f aca="false">IF($B8="","",IF(Challenges!$L$30=1,IF($B8=Challenges!$D$30,Challenges!$K$30,IF(AND(Z8&gt;=Challenges!$K$30,Z8&lt;Challenges!$J$30),Z8+1,Z8)),Z8))</f>
        <v>1</v>
      </c>
      <c r="AB8" s="0" t="n">
        <f aca="false">IF($B8="","",IF(Challenges!$L$31=1,IF($B8=Challenges!$D$31,Challenges!$K$31,IF(AND(AA8&gt;=Challenges!$K$31,AA8&lt;Challenges!$J$31),AA8+1,AA8)),AA8))</f>
        <v>1</v>
      </c>
      <c r="AC8" s="0" t="n">
        <f aca="false">IF($B8="","",IF(Challenges!$L$32=1,IF($B8=Challenges!$D$32,Challenges!$K$32,IF(AND(AB8&gt;=Challenges!$K$32,AB8&lt;Challenges!$J$32),AB8+1,AB8)),AB8))</f>
        <v>1</v>
      </c>
      <c r="AD8" s="0" t="n">
        <f aca="false">IF($B8="","",IF(Challenges!$L$33=1,IF($B8=Challenges!$D$33,Challenges!$K$33,IF(AND(AC8&gt;=Challenges!$K$33,AC8&lt;Challenges!$J$33),AC8+1,AC8)),AC8))</f>
        <v>1</v>
      </c>
      <c r="AE8" s="0" t="n">
        <f aca="false">IF($B8="","",IF(Challenges!$L$34=1,IF($B8=Challenges!$D$34,Challenges!$K$34,IF(AND(AD8&gt;=Challenges!$K$34,AD8&lt;Challenges!$J$34),AD8+1,AD8)),AD8))</f>
        <v>1</v>
      </c>
      <c r="AF8" s="0" t="n">
        <f aca="false">IF($B8="","",IF(Challenges!$L$35=1,IF($B8=Challenges!$D$35,Challenges!$K$35,IF(AND(AE8&gt;=Challenges!$K$35,AE8&lt;Challenges!$J$35),AE8+1,AE8)),AE8))</f>
        <v>1</v>
      </c>
      <c r="AG8" s="0" t="n">
        <f aca="false">IF($B8="","",IF(Challenges!$L$36=1,IF($B8=Challenges!$D$36,Challenges!$K$36,IF(AND(AF8&gt;=Challenges!$K$36,AF8&lt;Challenges!$J$36),AF8+1,AF8)),AF8))</f>
        <v>1</v>
      </c>
      <c r="AH8" s="0" t="n">
        <f aca="false">IF($B8="","",IF(Challenges!$L$37=1,IF($B8=Challenges!$D$37,Challenges!$K$37,IF(AND(AG8&gt;=Challenges!$K$37,AG8&lt;Challenges!$J$37),AG8+1,AG8)),AG8))</f>
        <v>1</v>
      </c>
      <c r="AI8" s="0" t="n">
        <f aca="false">IF($B8="","",IF(Challenges!$L$38=1,IF($B8=Challenges!$D$38,Challenges!$K$38,IF(AND(AH8&gt;=Challenges!$K$38,AH8&lt;Challenges!$J$38),AH8+1,AH8)),AH8))</f>
        <v>1</v>
      </c>
      <c r="AJ8" s="0" t="n">
        <f aca="false">IF($B8="","",IF(Challenges!$L$39=1,IF($B8=Challenges!$D$39,Challenges!$K$39,IF(AND(AI8&gt;=Challenges!$K$39,AI8&lt;Challenges!$J$39),AI8+1,AI8)),AI8))</f>
        <v>1</v>
      </c>
      <c r="AK8" s="0" t="n">
        <f aca="false">IF($B8="","",IF(Challenges!$L$40=1,IF($B8=Challenges!$D$40,Challenges!$K$40,IF(AND(AJ8&gt;=Challenges!$K$40,AJ8&lt;Challenges!$J$40),AJ8+1,AJ8)),AJ8))</f>
        <v>1</v>
      </c>
      <c r="AL8" s="0" t="n">
        <f aca="false">IF($B8="","",IF(Challenges!$L$41=1,IF($B8=Challenges!$D$41,Challenges!$K$41,IF(AND(AK8&gt;=Challenges!$K$41,AK8&lt;Challenges!$J$41),AK8+1,AK8)),AK8))</f>
        <v>1</v>
      </c>
      <c r="AM8" s="0" t="n">
        <f aca="false">IF($B8="","",IF(Challenges!$L$42=1,IF($B8=Challenges!$D$42,Challenges!$K$42,IF(AND(AL8&gt;=Challenges!$K$42,AL8&lt;Challenges!$J$42),AL8+1,AL8)),AL8))</f>
        <v>1</v>
      </c>
      <c r="AN8" s="0" t="n">
        <f aca="false">IF($B8="","",IF(Challenges!$L$43=1,IF($B8=Challenges!$D$43,Challenges!$K$43,IF(AND(AM8&gt;=Challenges!$K$43,AM8&lt;Challenges!$J$43),AM8+1,AM8)),AM8))</f>
        <v>1</v>
      </c>
      <c r="AO8" s="0" t="n">
        <f aca="false">IF($B8="","",IF(Challenges!$L$44=1,IF($B8=Challenges!$D$44,Challenges!$K$44,IF(AND(AN8&gt;=Challenges!$K$44,AN8&lt;Challenges!$J$44),AN8+1,AN8)),AN8))</f>
        <v>1</v>
      </c>
      <c r="AP8" s="0" t="n">
        <f aca="false">IF($B8="","",IF(Challenges!$L$45=1,IF($B8=Challenges!$D$45,Challenges!$K$45,IF(AND(AO8&gt;=Challenges!$K$45,AO8&lt;Challenges!$J$45),AO8+1,AO8)),AO8))</f>
        <v>1</v>
      </c>
      <c r="AQ8" s="0" t="n">
        <f aca="false">IF($B8="","",IF(Challenges!$L$46=1,IF($B8=Challenges!$D$46,Challenges!$K$46,IF(AND(AP8&gt;=Challenges!$K$46,AP8&lt;Challenges!$J$46),AP8+1,AP8)),AP8))</f>
        <v>1</v>
      </c>
      <c r="AR8" s="0" t="n">
        <f aca="false">IF($B8="","",IF(Challenges!$L$47=1,IF($B8=Challenges!$D$47,Challenges!$K$47,IF(AND(AQ8&gt;=Challenges!$K$47,AQ8&lt;Challenges!$J$47),AQ8+1,AQ8)),AQ8))</f>
        <v>1</v>
      </c>
      <c r="AS8" s="0" t="n">
        <f aca="false">IF($B8="","",IF(Challenges!$L$48=1,IF($B8=Challenges!$D$48,Challenges!$K$48,IF(AND(AR8&gt;=Challenges!$K$48,AR8&lt;Challenges!$J$48),AR8+1,AR8)),AR8))</f>
        <v>1</v>
      </c>
      <c r="AT8" s="0" t="n">
        <f aca="false">IF($B8="","",IF(Challenges!$L$49=1,IF($B8=Challenges!$D$49,Challenges!$K$49,IF(AND(AS8&gt;=Challenges!$K$49,AS8&lt;Challenges!$J$49),AS8+1,AS8)),AS8))</f>
        <v>1</v>
      </c>
      <c r="AU8" s="0" t="n">
        <f aca="false">IF($B8="","",IF(Challenges!$L$50=1,IF($B8=Challenges!$D$50,Challenges!$K$50,IF(AND(AT8&gt;=Challenges!$K$50,AT8&lt;Challenges!$J$50),AT8+1,AT8)),AT8))</f>
        <v>1</v>
      </c>
      <c r="AV8" s="0" t="n">
        <f aca="false">IF($B8="","",IF(Challenges!$L$51=1,IF($B8=Challenges!$D$51,Challenges!$K$51,IF(AND(AU8&gt;=Challenges!$K$51,AU8&lt;Challenges!$J$51),AU8+1,AU8)),AU8))</f>
        <v>1</v>
      </c>
      <c r="AW8" s="0" t="n">
        <f aca="false">IF($B8="","",IF(Challenges!$L$52=1,IF($B8=Challenges!$D$52,Challenges!$K$52,IF(AND(AV8&gt;=Challenges!$K$52,AV8&lt;Challenges!$J$52),AV8+1,AV8)),AV8))</f>
        <v>1</v>
      </c>
      <c r="AX8" s="0" t="n">
        <f aca="false">IF($B8="","",IF(Challenges!$L$53=1,IF($B8=Challenges!$D$53,Challenges!$K$53,IF(AND(AW8&gt;=Challenges!$K$53,AW8&lt;Challenges!$J$53),AW8+1,AW8)),AW8))</f>
        <v>1</v>
      </c>
      <c r="AY8" s="0" t="n">
        <f aca="false">IF($B8="","",IF(Challenges!$L$54=1,IF($B8=Challenges!$D$54,Challenges!$K$54,IF(AND(AX8&gt;=Challenges!$K$54,AX8&lt;Challenges!$J$54),AX8+1,AX8)),AX8))</f>
        <v>1</v>
      </c>
      <c r="AZ8" s="0" t="n">
        <f aca="false">IF($B8="","",IF(Challenges!$L$55=1,IF($B8=Challenges!$D$55,Challenges!$K$55,IF(AND(AY8&gt;=Challenges!$K$55,AY8&lt;Challenges!$J$55),AY8+1,AY8)),AY8))</f>
        <v>1</v>
      </c>
      <c r="BA8" s="0" t="n">
        <f aca="false">IF($B8="","",IF(Challenges!$L$56=1,IF($B8=Challenges!$D$56,Challenges!$K$56,IF(AND(AZ8&gt;=Challenges!$K$56,AZ8&lt;Challenges!$J$56),AZ8+1,AZ8)),AZ8))</f>
        <v>1</v>
      </c>
      <c r="BB8" s="0" t="n">
        <f aca="false">IF($B8="","",IF(Challenges!$L$57=1,IF($B8=Challenges!$D$57,Challenges!$K$57,IF(AND(BA8&gt;=Challenges!$K$57,BA8&lt;Challenges!$J$57),BA8+1,BA8)),BA8))</f>
        <v>1</v>
      </c>
      <c r="BC8" s="0" t="n">
        <f aca="false">IF($B8="","",IF(Challenges!$L$58=1,IF($B8=Challenges!$D$58,Challenges!$K$58,IF(AND(BB8&gt;=Challenges!$K$58,BB8&lt;Challenges!$J$58),BB8+1,BB8)),BB8))</f>
        <v>1</v>
      </c>
      <c r="BD8" s="0" t="n">
        <f aca="false">IF($B8="","",IF(Challenges!$L$59=1,IF($B8=Challenges!$D$59,Challenges!$K$59,IF(AND(BC8&gt;=Challenges!$K$59,BC8&lt;Challenges!$J$59),BC8+1,BC8)),BC8))</f>
        <v>1</v>
      </c>
      <c r="BE8" s="0" t="n">
        <f aca="false">IF($B8="","",IF(Challenges!$L$60=1,IF($B8=Challenges!$D$60,Challenges!$K$60,IF(AND(BD8&gt;=Challenges!$K$60,BD8&lt;Challenges!$J$60),BD8+1,BD8)),BD8))</f>
        <v>1</v>
      </c>
      <c r="BF8" s="0" t="n">
        <f aca="false">IF($B8="","",IF(Challenges!$L$61=1,IF($B8=Challenges!$D$61,Challenges!$K$61,IF(AND(BE8&gt;=Challenges!$K$61,BE8&lt;Challenges!$J$61),BE8+1,BE8)),BE8))</f>
        <v>1</v>
      </c>
      <c r="BG8" s="0" t="n">
        <f aca="false">IF($B8="","",IF(Challenges!$L$62=1,IF($B8=Challenges!$D$62,Challenges!$K$62,IF(AND(BF8&gt;=Challenges!$K$62,BF8&lt;Challenges!$J$62),BF8+1,BF8)),BF8))</f>
        <v>1</v>
      </c>
      <c r="BH8" s="0" t="n">
        <f aca="false">IF($B8="","",IF(Challenges!$L$63=1,IF($B8=Challenges!$D$63,Challenges!$K$63,IF(AND(BG8&gt;=Challenges!$K$63,BG8&lt;Challenges!$J$63),BG8+1,BG8)),BG8))</f>
        <v>1</v>
      </c>
      <c r="BI8" s="0" t="n">
        <f aca="false">IF($B8="","",IF(Challenges!$L$64=1,IF($B8=Challenges!$D$64,Challenges!$K$64,IF(AND(BH8&gt;=Challenges!$K$64,BH8&lt;Challenges!$J$64),BH8+1,BH8)),BH8))</f>
        <v>1</v>
      </c>
      <c r="BJ8" s="0" t="n">
        <f aca="false">IF($B8="","",IF(Challenges!$L$65=1,IF($B8=Challenges!$D$65,Challenges!$K$65,IF(AND(BI8&gt;=Challenges!$K$65,BI8&lt;Challenges!$J$65),BI8+1,BI8)),BI8))</f>
        <v>1</v>
      </c>
      <c r="BK8" s="0" t="n">
        <f aca="false">IF($B8="","",IF(Challenges!$L$66=1,IF($B8=Challenges!$D$66,Challenges!$K$66,IF(AND(BJ8&gt;=Challenges!$K$66,BJ8&lt;Challenges!$J$66),BJ8+1,BJ8)),BJ8))</f>
        <v>1</v>
      </c>
      <c r="BL8" s="0" t="n">
        <f aca="false">IF($B8="","",IF(Challenges!$L$67=1,IF($B8=Challenges!$D$67,Challenges!$K$67,IF(AND(BK8&gt;=Challenges!$K$67,BK8&lt;Challenges!$J$67),BK8+1,BK8)),BK8))</f>
        <v>1</v>
      </c>
      <c r="BM8" s="0" t="n">
        <f aca="false">IF($B8="","",IF(Challenges!$L$68=1,IF($B8=Challenges!$D$68,Challenges!$K$68,IF(AND(BL8&gt;=Challenges!$K$68,BL8&lt;Challenges!$J$68),BL8+1,BL8)),BL8))</f>
        <v>1</v>
      </c>
      <c r="BN8" s="0" t="n">
        <f aca="false">IF($B8="","",IF(Challenges!$L$69=1,IF($B8=Challenges!$D$69,Challenges!$K$69,IF(AND(BM8&gt;=Challenges!$K$69,BM8&lt;Challenges!$J$69),BM8+1,BM8)),BM8))</f>
        <v>1</v>
      </c>
      <c r="BO8" s="0" t="n">
        <f aca="false">IF($B8="","",IF(Challenges!$L$70=1,IF($B8=Challenges!$D$70,Challenges!$K$70,IF(AND(BN8&gt;=Challenges!$K$70,BN8&lt;Challenges!$J$70),BN8+1,BN8)),BN8))</f>
        <v>1</v>
      </c>
      <c r="BP8" s="0" t="n">
        <f aca="false">IF($B8="","",IF(Challenges!$L$71=1,IF($B8=Challenges!$D$71,Challenges!$K$71,IF(AND(BO8&gt;=Challenges!$K$71,BO8&lt;Challenges!$J$71),BO8+1,BO8)),BO8))</f>
        <v>1</v>
      </c>
      <c r="BQ8" s="0" t="n">
        <f aca="false">IF($B8="","",IF(Challenges!$L$72=1,IF($B8=Challenges!$D$72,Challenges!$K$72,IF(AND(BP8&gt;=Challenges!$K$72,BP8&lt;Challenges!$J$72),BP8+1,BP8)),BP8))</f>
        <v>1</v>
      </c>
      <c r="BR8" s="0" t="n">
        <f aca="false">IF($B8="","",IF(Challenges!$L$73=1,IF($B8=Challenges!$D$73,Challenges!$K$73,IF(AND(BQ8&gt;=Challenges!$K$73,BQ8&lt;Challenges!$J$73),BQ8+1,BQ8)),BQ8))</f>
        <v>1</v>
      </c>
      <c r="BS8" s="0" t="n">
        <f aca="false">IF($B8="","",IF(Challenges!$L$74=1,IF($B8=Challenges!$D$74,Challenges!$K$74,IF(AND(BR8&gt;=Challenges!$K$74,BR8&lt;Challenges!$J$74),BR8+1,BR8)),BR8))</f>
        <v>1</v>
      </c>
      <c r="BT8" s="0" t="n">
        <f aca="false">IF($B8="","",IF(Challenges!$L$75=1,IF($B8=Challenges!$D$75,Challenges!$K$75,IF(AND(BS8&gt;=Challenges!$K$75,BS8&lt;Challenges!$J$75),BS8+1,BS8)),BS8))</f>
        <v>1</v>
      </c>
      <c r="BU8" s="0" t="n">
        <f aca="false">IF($B8="","",IF(Challenges!$L$76=1,IF($B8=Challenges!$D$76,Challenges!$K$76,IF(AND(BT8&gt;=Challenges!$K$76,BT8&lt;Challenges!$J$76),BT8+1,BT8)),BT8))</f>
        <v>1</v>
      </c>
      <c r="BV8" s="0" t="n">
        <f aca="false">IF($B8="","",IF(Challenges!$L$77=1,IF($B8=Challenges!$D$77,Challenges!$K$77,IF(AND(BU8&gt;=Challenges!$K$77,BU8&lt;Challenges!$J$77),BU8+1,BU8)),BU8))</f>
        <v>1</v>
      </c>
      <c r="BW8" s="0" t="n">
        <f aca="false">IF($B8="","",IF(Challenges!$L$78=1,IF($B8=Challenges!$D$78,Challenges!$K$78,IF(AND(BV8&gt;=Challenges!$K$78,BV8&lt;Challenges!$J$78),BV8+1,BV8)),BV8))</f>
        <v>1</v>
      </c>
      <c r="BX8" s="0" t="n">
        <f aca="false">IF($B8="","",IF(Challenges!$L$79=1,IF($B8=Challenges!$D$79,Challenges!$K$79,IF(AND(BW8&gt;=Challenges!$K$79,BW8&lt;Challenges!$J$79),BW8+1,BW8)),BW8))</f>
        <v>1</v>
      </c>
      <c r="BY8" s="0" t="n">
        <f aca="false">IF($B8="","",IF(Challenges!$L$80=1,IF($B8=Challenges!$D$80,Challenges!$K$80,IF(AND(BX8&gt;=Challenges!$K$80,BX8&lt;Challenges!$J$80),BX8+1,BX8)),BX8))</f>
        <v>1</v>
      </c>
      <c r="BZ8" s="0" t="n">
        <f aca="false">IF($B8="","",IF(Challenges!$L$81=1,IF($B8=Challenges!$D$81,Challenges!$K$81,IF(AND(BY8&gt;=Challenges!$K$81,BY8&lt;Challenges!$J$81),BY8+1,BY8)),BY8))</f>
        <v>1</v>
      </c>
      <c r="CA8" s="0" t="n">
        <f aca="false">IF($B8="","",IF(Challenges!$L$82=1,IF($B8=Challenges!$D$82,Challenges!$K$82,IF(AND(BZ8&gt;=Challenges!$K$82,BZ8&lt;Challenges!$J$82),BZ8+1,BZ8)),BZ8))</f>
        <v>1</v>
      </c>
      <c r="CB8" s="0" t="n">
        <f aca="false">IF($B8="","",IF(Challenges!$L$83=1,IF($B8=Challenges!$D$83,Challenges!$K$83,IF(AND(CA8&gt;=Challenges!$K$83,CA8&lt;Challenges!$J$83),CA8+1,CA8)),CA8))</f>
        <v>1</v>
      </c>
      <c r="CC8" s="0" t="n">
        <f aca="false">IF($B8="","",IF(Challenges!$L$84=1,IF($B8=Challenges!$D$84,Challenges!$K$84,IF(AND(CB8&gt;=Challenges!$K$84,CB8&lt;Challenges!$J$84),CB8+1,CB8)),CB8))</f>
        <v>1</v>
      </c>
      <c r="CD8" s="0" t="n">
        <f aca="false">IF($B8="","",IF(Challenges!$L$85=1,IF($B8=Challenges!$D$85,Challenges!$K$85,IF(AND(CC8&gt;=Challenges!$K$85,CC8&lt;Challenges!$J$85),CC8+1,CC8)),CC8))</f>
        <v>1</v>
      </c>
      <c r="CE8" s="0" t="n">
        <f aca="false">IF($B8="","",IF(Challenges!$L$86=1,IF($B8=Challenges!$D$86,Challenges!$K$86,IF(AND(CD8&gt;=Challenges!$K$86,CD8&lt;Challenges!$J$86),CD8+1,CD8)),CD8))</f>
        <v>1</v>
      </c>
      <c r="CF8" s="0" t="n">
        <f aca="false">IF($B8="","",IF(Challenges!$L$87=1,IF($B8=Challenges!$D$87,Challenges!$K$87,IF(AND(CE8&gt;=Challenges!$K$87,CE8&lt;Challenges!$J$87),CE8+1,CE8)),CE8))</f>
        <v>1</v>
      </c>
      <c r="CG8" s="0" t="n">
        <f aca="false">IF($B8="","",IF(Challenges!$L$88=1,IF($B8=Challenges!$D$88,Challenges!$K$88,IF(AND(CF8&gt;=Challenges!$K$88,CF8&lt;Challenges!$J$88),CF8+1,CF8)),CF8))</f>
        <v>1</v>
      </c>
      <c r="CH8" s="0" t="n">
        <f aca="false">IF($B8="","",IF(Challenges!$L$89=1,IF($B8=Challenges!$D$89,Challenges!$K$89,IF(AND(CG8&gt;=Challenges!$K$89,CG8&lt;Challenges!$J$89),CG8+1,CG8)),CG8))</f>
        <v>1</v>
      </c>
      <c r="CI8" s="0" t="n">
        <f aca="false">IF($B8="","",IF(Challenges!$L$90=1,IF($B8=Challenges!$D$90,Challenges!$K$90,IF(AND(CH8&gt;=Challenges!$K$90,CH8&lt;Challenges!$J$90),CH8+1,CH8)),CH8))</f>
        <v>1</v>
      </c>
      <c r="CJ8" s="0" t="n">
        <f aca="false">IF($B8="","",IF(Challenges!$L$91=1,IF($B8=Challenges!$D$91,Challenges!$K$91,IF(AND(CI8&gt;=Challenges!$K$91,CI8&lt;Challenges!$J$91),CI8+1,CI8)),CI8))</f>
        <v>1</v>
      </c>
      <c r="CK8" s="0" t="n">
        <f aca="false">IF($B8="","",IF(Challenges!$L$92=1,IF($B8=Challenges!$D$92,Challenges!$K$92,IF(AND(CJ8&gt;=Challenges!$K$92,CJ8&lt;Challenges!$J$92),CJ8+1,CJ8)),CJ8))</f>
        <v>1</v>
      </c>
      <c r="CL8" s="0" t="n">
        <f aca="false">IF($B8="","",IF(Challenges!$L$93=1,IF($B8=Challenges!$D$93,Challenges!$K$93,IF(AND(CK8&gt;=Challenges!$K$93,CK8&lt;Challenges!$J$93),CK8+1,CK8)),CK8))</f>
        <v>1</v>
      </c>
      <c r="CM8" s="0" t="n">
        <f aca="false">IF($B8="","",IF(Challenges!$L$94=1,IF($B8=Challenges!$D$94,Challenges!$K$94,IF(AND(CL8&gt;=Challenges!$K$94,CL8&lt;Challenges!$J$94),CL8+1,CL8)),CL8))</f>
        <v>1</v>
      </c>
      <c r="CN8" s="0" t="n">
        <f aca="false">IF($B8="","",IF(Challenges!$L$95=1,IF($B8=Challenges!$D$95,Challenges!$K$95,IF(AND(CM8&gt;=Challenges!$K$95,CM8&lt;Challenges!$J$95),CM8+1,CM8)),CM8))</f>
        <v>1</v>
      </c>
      <c r="CO8" s="0" t="n">
        <f aca="false">IF($B8="","",IF(Challenges!$L$96=1,IF($B8=Challenges!$D$96,Challenges!$K$96,IF(AND(CN8&gt;=Challenges!$K$96,CN8&lt;Challenges!$J$96),CN8+1,CN8)),CN8))</f>
        <v>1</v>
      </c>
      <c r="CP8" s="0" t="n">
        <f aca="false">IF($B8="","",IF(Challenges!$L$97=1,IF($B8=Challenges!$D$97,Challenges!$K$97,IF(AND(CO8&gt;=Challenges!$K$97,CO8&lt;Challenges!$J$97),CO8+1,CO8)),CO8))</f>
        <v>1</v>
      </c>
      <c r="CQ8" s="0" t="n">
        <f aca="false">IF($B8="","",IF(Challenges!$L$98=1,IF($B8=Challenges!$D$98,Challenges!$K$98,IF(AND(CP8&gt;=Challenges!$K$98,CP8&lt;Challenges!$J$98),CP8+1,CP8)),CP8))</f>
        <v>1</v>
      </c>
      <c r="CR8" s="0" t="n">
        <f aca="false">IF($B8="","",IF(Challenges!$L$99=1,IF($B8=Challenges!$D$99,Challenges!$K$99,IF(AND(CQ8&gt;=Challenges!$K$99,CQ8&lt;Challenges!$J$99),CQ8+1,CQ8)),CQ8))</f>
        <v>1</v>
      </c>
      <c r="CS8" s="0" t="n">
        <f aca="false">IF($B8="","",IF(Challenges!$L$100=1,IF($B8=Challenges!$D$100,Challenges!$K$100,IF(AND(CR8&gt;=Challenges!$K$100,CR8&lt;Challenges!$J$100),CR8+1,CR8)),CR8))</f>
        <v>1</v>
      </c>
      <c r="CT8" s="0" t="n">
        <f aca="false">IF($B8="","",IF(Challenges!$L$101=1,IF($B8=Challenges!$D$101,Challenges!$K$101,IF(AND(CS8&gt;=Challenges!$K$101,CS8&lt;Challenges!$J$101),CS8+1,CS8)),CS8))</f>
        <v>1</v>
      </c>
      <c r="CU8" s="0" t="n">
        <f aca="false">IF($B8="","",IF(Challenges!$L$102=1,IF($B8=Challenges!$D$102,Challenges!$K$102,IF(AND(CT8&gt;=Challenges!$K$102,CT8&lt;Challenges!$J$102),CT8+1,CT8)),CT8))</f>
        <v>1</v>
      </c>
      <c r="CV8" s="0" t="n">
        <f aca="false">IF($B8="","",IF(Challenges!$L$103=1,IF($B8=Challenges!$D$103,Challenges!$K$103,IF(AND(CU8&gt;=Challenges!$K$103,CU8&lt;Challenges!$J$103),CU8+1,CU8)),CU8))</f>
        <v>1</v>
      </c>
      <c r="CW8" s="0" t="n">
        <f aca="false">IF($B8="","",IF(Challenges!$L$104=1,IF($B8=Challenges!$D$104,Challenges!$K$104,IF(AND(CV8&gt;=Challenges!$K$104,CV8&lt;Challenges!$J$104),CV8+1,CV8)),CV8))</f>
        <v>1</v>
      </c>
      <c r="CX8" s="0" t="n">
        <f aca="false">IF($B8="","",IF(Challenges!$L$105=1,IF($B8=Challenges!$D$105,Challenges!$K$105,IF(AND(CW8&gt;=Challenges!$K$105,CW8&lt;Challenges!$J$105),CW8+1,CW8)),CW8))</f>
        <v>1</v>
      </c>
      <c r="CY8" s="0" t="n">
        <f aca="false">IF($B8="","",IF(Challenges!$L$106=1,IF($B8=Challenges!$D$106,Challenges!$K$106,IF(AND(CX8&gt;=Challenges!$K$106,CX8&lt;Challenges!$J$106),CX8+1,CX8)),CX8))</f>
        <v>1</v>
      </c>
    </row>
    <row r="9" customFormat="false" ht="15" hidden="false" customHeight="false" outlineLevel="0" collapsed="false">
      <c r="B9" s="0" t="str">
        <f aca="false">IF(Ladder!$C9="","",Ladder!$C9)</f>
        <v>Priya</v>
      </c>
      <c r="C9" s="0" t="n">
        <f aca="false">IF($B9="","",ROW()-6)</f>
        <v>3</v>
      </c>
      <c r="D9" s="0" t="n">
        <f aca="false">IF($B9="","",IF(Challenges!$L$7=1,IF($B9=Challenges!$D$7,Challenges!$K$7,IF(AND(C9&gt;=Challenges!$K$7,C9&lt;Challenges!$J$7),C9+1,C9)),C9))</f>
        <v>4</v>
      </c>
      <c r="E9" s="0" t="n">
        <f aca="false">IF($B9="","",IF(Challenges!$L$8=1,IF($B9=Challenges!$D$8,Challenges!$K$8,IF(AND(D9&gt;=Challenges!$K$8,D9&lt;Challenges!$J$8),D9+1,D9)),D9))</f>
        <v>4</v>
      </c>
      <c r="F9" s="0" t="n">
        <f aca="false">IF($B9="","",IF(Challenges!$L$9=1,IF($B9=Challenges!$D$9,Challenges!$K$9,IF(AND(E9&gt;=Challenges!$K$9,E9&lt;Challenges!$J$9),E9+1,E9)),E9))</f>
        <v>4</v>
      </c>
      <c r="G9" s="0" t="n">
        <f aca="false">IF($B9="","",IF(Challenges!$L$10=1,IF($B9=Challenges!$D$10,Challenges!$K$10,IF(AND(F9&gt;=Challenges!$K$10,F9&lt;Challenges!$J$10),F9+1,F9)),F9))</f>
        <v>4</v>
      </c>
      <c r="H9" s="0" t="n">
        <f aca="false">IF($B9="","",IF(Challenges!$L$11=1,IF($B9=Challenges!$D$11,Challenges!$K$11,IF(AND(G9&gt;=Challenges!$K$11,G9&lt;Challenges!$J$11),G9+1,G9)),G9))</f>
        <v>4</v>
      </c>
      <c r="I9" s="0" t="n">
        <f aca="false">IF($B9="","",IF(Challenges!$L$12=1,IF($B9=Challenges!$D$12,Challenges!$K$12,IF(AND(H9&gt;=Challenges!$K$12,H9&lt;Challenges!$J$12),H9+1,H9)),H9))</f>
        <v>4</v>
      </c>
      <c r="J9" s="0" t="n">
        <f aca="false">IF($B9="","",IF(Challenges!$L$13=1,IF($B9=Challenges!$D$13,Challenges!$K$13,IF(AND(I9&gt;=Challenges!$K$13,I9&lt;Challenges!$J$13),I9+1,I9)),I9))</f>
        <v>4</v>
      </c>
      <c r="K9" s="0" t="n">
        <f aca="false">IF($B9="","",IF(Challenges!$L$14=1,IF($B9=Challenges!$D$14,Challenges!$K$14,IF(AND(J9&gt;=Challenges!$K$14,J9&lt;Challenges!$J$14),J9+1,J9)),J9))</f>
        <v>4</v>
      </c>
      <c r="L9" s="0" t="n">
        <f aca="false">IF($B9="","",IF(Challenges!$L$15=1,IF($B9=Challenges!$D$15,Challenges!$K$15,IF(AND(K9&gt;=Challenges!$K$15,K9&lt;Challenges!$J$15),K9+1,K9)),K9))</f>
        <v>4</v>
      </c>
      <c r="M9" s="0" t="n">
        <f aca="false">IF($B9="","",IF(Challenges!$L$16=1,IF($B9=Challenges!$D$16,Challenges!$K$16,IF(AND(L9&gt;=Challenges!$K$16,L9&lt;Challenges!$J$16),L9+1,L9)),L9))</f>
        <v>4</v>
      </c>
      <c r="N9" s="0" t="n">
        <f aca="false">IF($B9="","",IF(Challenges!$L$17=1,IF($B9=Challenges!$D$17,Challenges!$K$17,IF(AND(M9&gt;=Challenges!$K$17,M9&lt;Challenges!$J$17),M9+1,M9)),M9))</f>
        <v>4</v>
      </c>
      <c r="O9" s="0" t="n">
        <f aca="false">IF($B9="","",IF(Challenges!$L$18=1,IF($B9=Challenges!$D$18,Challenges!$K$18,IF(AND(N9&gt;=Challenges!$K$18,N9&lt;Challenges!$J$18),N9+1,N9)),N9))</f>
        <v>4</v>
      </c>
      <c r="P9" s="0" t="n">
        <f aca="false">IF($B9="","",IF(Challenges!$L$19=1,IF($B9=Challenges!$D$19,Challenges!$K$19,IF(AND(O9&gt;=Challenges!$K$19,O9&lt;Challenges!$J$19),O9+1,O9)),O9))</f>
        <v>4</v>
      </c>
      <c r="Q9" s="0" t="n">
        <f aca="false">IF($B9="","",IF(Challenges!$L$20=1,IF($B9=Challenges!$D$20,Challenges!$K$20,IF(AND(P9&gt;=Challenges!$K$20,P9&lt;Challenges!$J$20),P9+1,P9)),P9))</f>
        <v>4</v>
      </c>
      <c r="R9" s="0" t="n">
        <f aca="false">IF($B9="","",IF(Challenges!$L$21=1,IF($B9=Challenges!$D$21,Challenges!$K$21,IF(AND(Q9&gt;=Challenges!$K$21,Q9&lt;Challenges!$J$21),Q9+1,Q9)),Q9))</f>
        <v>4</v>
      </c>
      <c r="S9" s="0" t="n">
        <f aca="false">IF($B9="","",IF(Challenges!$L$22=1,IF($B9=Challenges!$D$22,Challenges!$K$22,IF(AND(R9&gt;=Challenges!$K$22,R9&lt;Challenges!$J$22),R9+1,R9)),R9))</f>
        <v>4</v>
      </c>
      <c r="T9" s="0" t="n">
        <f aca="false">IF($B9="","",IF(Challenges!$L$23=1,IF($B9=Challenges!$D$23,Challenges!$K$23,IF(AND(S9&gt;=Challenges!$K$23,S9&lt;Challenges!$J$23),S9+1,S9)),S9))</f>
        <v>4</v>
      </c>
      <c r="U9" s="0" t="n">
        <f aca="false">IF($B9="","",IF(Challenges!$L$24=1,IF($B9=Challenges!$D$24,Challenges!$K$24,IF(AND(T9&gt;=Challenges!$K$24,T9&lt;Challenges!$J$24),T9+1,T9)),T9))</f>
        <v>4</v>
      </c>
      <c r="V9" s="0" t="n">
        <f aca="false">IF($B9="","",IF(Challenges!$L$25=1,IF($B9=Challenges!$D$25,Challenges!$K$25,IF(AND(U9&gt;=Challenges!$K$25,U9&lt;Challenges!$J$25),U9+1,U9)),U9))</f>
        <v>4</v>
      </c>
      <c r="W9" s="0" t="n">
        <f aca="false">IF($B9="","",IF(Challenges!$L$26=1,IF($B9=Challenges!$D$26,Challenges!$K$26,IF(AND(V9&gt;=Challenges!$K$26,V9&lt;Challenges!$J$26),V9+1,V9)),V9))</f>
        <v>4</v>
      </c>
      <c r="X9" s="0" t="n">
        <f aca="false">IF($B9="","",IF(Challenges!$L$27=1,IF($B9=Challenges!$D$27,Challenges!$K$27,IF(AND(W9&gt;=Challenges!$K$27,W9&lt;Challenges!$J$27),W9+1,W9)),W9))</f>
        <v>4</v>
      </c>
      <c r="Y9" s="0" t="n">
        <f aca="false">IF($B9="","",IF(Challenges!$L$28=1,IF($B9=Challenges!$D$28,Challenges!$K$28,IF(AND(X9&gt;=Challenges!$K$28,X9&lt;Challenges!$J$28),X9+1,X9)),X9))</f>
        <v>4</v>
      </c>
      <c r="Z9" s="0" t="n">
        <f aca="false">IF($B9="","",IF(Challenges!$L$29=1,IF($B9=Challenges!$D$29,Challenges!$K$29,IF(AND(Y9&gt;=Challenges!$K$29,Y9&lt;Challenges!$J$29),Y9+1,Y9)),Y9))</f>
        <v>4</v>
      </c>
      <c r="AA9" s="0" t="n">
        <f aca="false">IF($B9="","",IF(Challenges!$L$30=1,IF($B9=Challenges!$D$30,Challenges!$K$30,IF(AND(Z9&gt;=Challenges!$K$30,Z9&lt;Challenges!$J$30),Z9+1,Z9)),Z9))</f>
        <v>4</v>
      </c>
      <c r="AB9" s="0" t="n">
        <f aca="false">IF($B9="","",IF(Challenges!$L$31=1,IF($B9=Challenges!$D$31,Challenges!$K$31,IF(AND(AA9&gt;=Challenges!$K$31,AA9&lt;Challenges!$J$31),AA9+1,AA9)),AA9))</f>
        <v>4</v>
      </c>
      <c r="AC9" s="0" t="n">
        <f aca="false">IF($B9="","",IF(Challenges!$L$32=1,IF($B9=Challenges!$D$32,Challenges!$K$32,IF(AND(AB9&gt;=Challenges!$K$32,AB9&lt;Challenges!$J$32),AB9+1,AB9)),AB9))</f>
        <v>4</v>
      </c>
      <c r="AD9" s="0" t="n">
        <f aca="false">IF($B9="","",IF(Challenges!$L$33=1,IF($B9=Challenges!$D$33,Challenges!$K$33,IF(AND(AC9&gt;=Challenges!$K$33,AC9&lt;Challenges!$J$33),AC9+1,AC9)),AC9))</f>
        <v>4</v>
      </c>
      <c r="AE9" s="0" t="n">
        <f aca="false">IF($B9="","",IF(Challenges!$L$34=1,IF($B9=Challenges!$D$34,Challenges!$K$34,IF(AND(AD9&gt;=Challenges!$K$34,AD9&lt;Challenges!$J$34),AD9+1,AD9)),AD9))</f>
        <v>4</v>
      </c>
      <c r="AF9" s="0" t="n">
        <f aca="false">IF($B9="","",IF(Challenges!$L$35=1,IF($B9=Challenges!$D$35,Challenges!$K$35,IF(AND(AE9&gt;=Challenges!$K$35,AE9&lt;Challenges!$J$35),AE9+1,AE9)),AE9))</f>
        <v>4</v>
      </c>
      <c r="AG9" s="0" t="n">
        <f aca="false">IF($B9="","",IF(Challenges!$L$36=1,IF($B9=Challenges!$D$36,Challenges!$K$36,IF(AND(AF9&gt;=Challenges!$K$36,AF9&lt;Challenges!$J$36),AF9+1,AF9)),AF9))</f>
        <v>4</v>
      </c>
      <c r="AH9" s="0" t="n">
        <f aca="false">IF($B9="","",IF(Challenges!$L$37=1,IF($B9=Challenges!$D$37,Challenges!$K$37,IF(AND(AG9&gt;=Challenges!$K$37,AG9&lt;Challenges!$J$37),AG9+1,AG9)),AG9))</f>
        <v>4</v>
      </c>
      <c r="AI9" s="0" t="n">
        <f aca="false">IF($B9="","",IF(Challenges!$L$38=1,IF($B9=Challenges!$D$38,Challenges!$K$38,IF(AND(AH9&gt;=Challenges!$K$38,AH9&lt;Challenges!$J$38),AH9+1,AH9)),AH9))</f>
        <v>4</v>
      </c>
      <c r="AJ9" s="0" t="n">
        <f aca="false">IF($B9="","",IF(Challenges!$L$39=1,IF($B9=Challenges!$D$39,Challenges!$K$39,IF(AND(AI9&gt;=Challenges!$K$39,AI9&lt;Challenges!$J$39),AI9+1,AI9)),AI9))</f>
        <v>4</v>
      </c>
      <c r="AK9" s="0" t="n">
        <f aca="false">IF($B9="","",IF(Challenges!$L$40=1,IF($B9=Challenges!$D$40,Challenges!$K$40,IF(AND(AJ9&gt;=Challenges!$K$40,AJ9&lt;Challenges!$J$40),AJ9+1,AJ9)),AJ9))</f>
        <v>4</v>
      </c>
      <c r="AL9" s="0" t="n">
        <f aca="false">IF($B9="","",IF(Challenges!$L$41=1,IF($B9=Challenges!$D$41,Challenges!$K$41,IF(AND(AK9&gt;=Challenges!$K$41,AK9&lt;Challenges!$J$41),AK9+1,AK9)),AK9))</f>
        <v>4</v>
      </c>
      <c r="AM9" s="0" t="n">
        <f aca="false">IF($B9="","",IF(Challenges!$L$42=1,IF($B9=Challenges!$D$42,Challenges!$K$42,IF(AND(AL9&gt;=Challenges!$K$42,AL9&lt;Challenges!$J$42),AL9+1,AL9)),AL9))</f>
        <v>4</v>
      </c>
      <c r="AN9" s="0" t="n">
        <f aca="false">IF($B9="","",IF(Challenges!$L$43=1,IF($B9=Challenges!$D$43,Challenges!$K$43,IF(AND(AM9&gt;=Challenges!$K$43,AM9&lt;Challenges!$J$43),AM9+1,AM9)),AM9))</f>
        <v>4</v>
      </c>
      <c r="AO9" s="0" t="n">
        <f aca="false">IF($B9="","",IF(Challenges!$L$44=1,IF($B9=Challenges!$D$44,Challenges!$K$44,IF(AND(AN9&gt;=Challenges!$K$44,AN9&lt;Challenges!$J$44),AN9+1,AN9)),AN9))</f>
        <v>4</v>
      </c>
      <c r="AP9" s="0" t="n">
        <f aca="false">IF($B9="","",IF(Challenges!$L$45=1,IF($B9=Challenges!$D$45,Challenges!$K$45,IF(AND(AO9&gt;=Challenges!$K$45,AO9&lt;Challenges!$J$45),AO9+1,AO9)),AO9))</f>
        <v>4</v>
      </c>
      <c r="AQ9" s="0" t="n">
        <f aca="false">IF($B9="","",IF(Challenges!$L$46=1,IF($B9=Challenges!$D$46,Challenges!$K$46,IF(AND(AP9&gt;=Challenges!$K$46,AP9&lt;Challenges!$J$46),AP9+1,AP9)),AP9))</f>
        <v>4</v>
      </c>
      <c r="AR9" s="0" t="n">
        <f aca="false">IF($B9="","",IF(Challenges!$L$47=1,IF($B9=Challenges!$D$47,Challenges!$K$47,IF(AND(AQ9&gt;=Challenges!$K$47,AQ9&lt;Challenges!$J$47),AQ9+1,AQ9)),AQ9))</f>
        <v>4</v>
      </c>
      <c r="AS9" s="0" t="n">
        <f aca="false">IF($B9="","",IF(Challenges!$L$48=1,IF($B9=Challenges!$D$48,Challenges!$K$48,IF(AND(AR9&gt;=Challenges!$K$48,AR9&lt;Challenges!$J$48),AR9+1,AR9)),AR9))</f>
        <v>4</v>
      </c>
      <c r="AT9" s="0" t="n">
        <f aca="false">IF($B9="","",IF(Challenges!$L$49=1,IF($B9=Challenges!$D$49,Challenges!$K$49,IF(AND(AS9&gt;=Challenges!$K$49,AS9&lt;Challenges!$J$49),AS9+1,AS9)),AS9))</f>
        <v>4</v>
      </c>
      <c r="AU9" s="0" t="n">
        <f aca="false">IF($B9="","",IF(Challenges!$L$50=1,IF($B9=Challenges!$D$50,Challenges!$K$50,IF(AND(AT9&gt;=Challenges!$K$50,AT9&lt;Challenges!$J$50),AT9+1,AT9)),AT9))</f>
        <v>4</v>
      </c>
      <c r="AV9" s="0" t="n">
        <f aca="false">IF($B9="","",IF(Challenges!$L$51=1,IF($B9=Challenges!$D$51,Challenges!$K$51,IF(AND(AU9&gt;=Challenges!$K$51,AU9&lt;Challenges!$J$51),AU9+1,AU9)),AU9))</f>
        <v>4</v>
      </c>
      <c r="AW9" s="0" t="n">
        <f aca="false">IF($B9="","",IF(Challenges!$L$52=1,IF($B9=Challenges!$D$52,Challenges!$K$52,IF(AND(AV9&gt;=Challenges!$K$52,AV9&lt;Challenges!$J$52),AV9+1,AV9)),AV9))</f>
        <v>4</v>
      </c>
      <c r="AX9" s="0" t="n">
        <f aca="false">IF($B9="","",IF(Challenges!$L$53=1,IF($B9=Challenges!$D$53,Challenges!$K$53,IF(AND(AW9&gt;=Challenges!$K$53,AW9&lt;Challenges!$J$53),AW9+1,AW9)),AW9))</f>
        <v>4</v>
      </c>
      <c r="AY9" s="0" t="n">
        <f aca="false">IF($B9="","",IF(Challenges!$L$54=1,IF($B9=Challenges!$D$54,Challenges!$K$54,IF(AND(AX9&gt;=Challenges!$K$54,AX9&lt;Challenges!$J$54),AX9+1,AX9)),AX9))</f>
        <v>4</v>
      </c>
      <c r="AZ9" s="0" t="n">
        <f aca="false">IF($B9="","",IF(Challenges!$L$55=1,IF($B9=Challenges!$D$55,Challenges!$K$55,IF(AND(AY9&gt;=Challenges!$K$55,AY9&lt;Challenges!$J$55),AY9+1,AY9)),AY9))</f>
        <v>4</v>
      </c>
      <c r="BA9" s="0" t="n">
        <f aca="false">IF($B9="","",IF(Challenges!$L$56=1,IF($B9=Challenges!$D$56,Challenges!$K$56,IF(AND(AZ9&gt;=Challenges!$K$56,AZ9&lt;Challenges!$J$56),AZ9+1,AZ9)),AZ9))</f>
        <v>4</v>
      </c>
      <c r="BB9" s="0" t="n">
        <f aca="false">IF($B9="","",IF(Challenges!$L$57=1,IF($B9=Challenges!$D$57,Challenges!$K$57,IF(AND(BA9&gt;=Challenges!$K$57,BA9&lt;Challenges!$J$57),BA9+1,BA9)),BA9))</f>
        <v>4</v>
      </c>
      <c r="BC9" s="0" t="n">
        <f aca="false">IF($B9="","",IF(Challenges!$L$58=1,IF($B9=Challenges!$D$58,Challenges!$K$58,IF(AND(BB9&gt;=Challenges!$K$58,BB9&lt;Challenges!$J$58),BB9+1,BB9)),BB9))</f>
        <v>4</v>
      </c>
      <c r="BD9" s="0" t="n">
        <f aca="false">IF($B9="","",IF(Challenges!$L$59=1,IF($B9=Challenges!$D$59,Challenges!$K$59,IF(AND(BC9&gt;=Challenges!$K$59,BC9&lt;Challenges!$J$59),BC9+1,BC9)),BC9))</f>
        <v>4</v>
      </c>
      <c r="BE9" s="0" t="n">
        <f aca="false">IF($B9="","",IF(Challenges!$L$60=1,IF($B9=Challenges!$D$60,Challenges!$K$60,IF(AND(BD9&gt;=Challenges!$K$60,BD9&lt;Challenges!$J$60),BD9+1,BD9)),BD9))</f>
        <v>4</v>
      </c>
      <c r="BF9" s="0" t="n">
        <f aca="false">IF($B9="","",IF(Challenges!$L$61=1,IF($B9=Challenges!$D$61,Challenges!$K$61,IF(AND(BE9&gt;=Challenges!$K$61,BE9&lt;Challenges!$J$61),BE9+1,BE9)),BE9))</f>
        <v>4</v>
      </c>
      <c r="BG9" s="0" t="n">
        <f aca="false">IF($B9="","",IF(Challenges!$L$62=1,IF($B9=Challenges!$D$62,Challenges!$K$62,IF(AND(BF9&gt;=Challenges!$K$62,BF9&lt;Challenges!$J$62),BF9+1,BF9)),BF9))</f>
        <v>4</v>
      </c>
      <c r="BH9" s="0" t="n">
        <f aca="false">IF($B9="","",IF(Challenges!$L$63=1,IF($B9=Challenges!$D$63,Challenges!$K$63,IF(AND(BG9&gt;=Challenges!$K$63,BG9&lt;Challenges!$J$63),BG9+1,BG9)),BG9))</f>
        <v>4</v>
      </c>
      <c r="BI9" s="0" t="n">
        <f aca="false">IF($B9="","",IF(Challenges!$L$64=1,IF($B9=Challenges!$D$64,Challenges!$K$64,IF(AND(BH9&gt;=Challenges!$K$64,BH9&lt;Challenges!$J$64),BH9+1,BH9)),BH9))</f>
        <v>4</v>
      </c>
      <c r="BJ9" s="0" t="n">
        <f aca="false">IF($B9="","",IF(Challenges!$L$65=1,IF($B9=Challenges!$D$65,Challenges!$K$65,IF(AND(BI9&gt;=Challenges!$K$65,BI9&lt;Challenges!$J$65),BI9+1,BI9)),BI9))</f>
        <v>4</v>
      </c>
      <c r="BK9" s="0" t="n">
        <f aca="false">IF($B9="","",IF(Challenges!$L$66=1,IF($B9=Challenges!$D$66,Challenges!$K$66,IF(AND(BJ9&gt;=Challenges!$K$66,BJ9&lt;Challenges!$J$66),BJ9+1,BJ9)),BJ9))</f>
        <v>4</v>
      </c>
      <c r="BL9" s="0" t="n">
        <f aca="false">IF($B9="","",IF(Challenges!$L$67=1,IF($B9=Challenges!$D$67,Challenges!$K$67,IF(AND(BK9&gt;=Challenges!$K$67,BK9&lt;Challenges!$J$67),BK9+1,BK9)),BK9))</f>
        <v>4</v>
      </c>
      <c r="BM9" s="0" t="n">
        <f aca="false">IF($B9="","",IF(Challenges!$L$68=1,IF($B9=Challenges!$D$68,Challenges!$K$68,IF(AND(BL9&gt;=Challenges!$K$68,BL9&lt;Challenges!$J$68),BL9+1,BL9)),BL9))</f>
        <v>4</v>
      </c>
      <c r="BN9" s="0" t="n">
        <f aca="false">IF($B9="","",IF(Challenges!$L$69=1,IF($B9=Challenges!$D$69,Challenges!$K$69,IF(AND(BM9&gt;=Challenges!$K$69,BM9&lt;Challenges!$J$69),BM9+1,BM9)),BM9))</f>
        <v>4</v>
      </c>
      <c r="BO9" s="0" t="n">
        <f aca="false">IF($B9="","",IF(Challenges!$L$70=1,IF($B9=Challenges!$D$70,Challenges!$K$70,IF(AND(BN9&gt;=Challenges!$K$70,BN9&lt;Challenges!$J$70),BN9+1,BN9)),BN9))</f>
        <v>4</v>
      </c>
      <c r="BP9" s="0" t="n">
        <f aca="false">IF($B9="","",IF(Challenges!$L$71=1,IF($B9=Challenges!$D$71,Challenges!$K$71,IF(AND(BO9&gt;=Challenges!$K$71,BO9&lt;Challenges!$J$71),BO9+1,BO9)),BO9))</f>
        <v>4</v>
      </c>
      <c r="BQ9" s="0" t="n">
        <f aca="false">IF($B9="","",IF(Challenges!$L$72=1,IF($B9=Challenges!$D$72,Challenges!$K$72,IF(AND(BP9&gt;=Challenges!$K$72,BP9&lt;Challenges!$J$72),BP9+1,BP9)),BP9))</f>
        <v>4</v>
      </c>
      <c r="BR9" s="0" t="n">
        <f aca="false">IF($B9="","",IF(Challenges!$L$73=1,IF($B9=Challenges!$D$73,Challenges!$K$73,IF(AND(BQ9&gt;=Challenges!$K$73,BQ9&lt;Challenges!$J$73),BQ9+1,BQ9)),BQ9))</f>
        <v>4</v>
      </c>
      <c r="BS9" s="0" t="n">
        <f aca="false">IF($B9="","",IF(Challenges!$L$74=1,IF($B9=Challenges!$D$74,Challenges!$K$74,IF(AND(BR9&gt;=Challenges!$K$74,BR9&lt;Challenges!$J$74),BR9+1,BR9)),BR9))</f>
        <v>4</v>
      </c>
      <c r="BT9" s="0" t="n">
        <f aca="false">IF($B9="","",IF(Challenges!$L$75=1,IF($B9=Challenges!$D$75,Challenges!$K$75,IF(AND(BS9&gt;=Challenges!$K$75,BS9&lt;Challenges!$J$75),BS9+1,BS9)),BS9))</f>
        <v>4</v>
      </c>
      <c r="BU9" s="0" t="n">
        <f aca="false">IF($B9="","",IF(Challenges!$L$76=1,IF($B9=Challenges!$D$76,Challenges!$K$76,IF(AND(BT9&gt;=Challenges!$K$76,BT9&lt;Challenges!$J$76),BT9+1,BT9)),BT9))</f>
        <v>4</v>
      </c>
      <c r="BV9" s="0" t="n">
        <f aca="false">IF($B9="","",IF(Challenges!$L$77=1,IF($B9=Challenges!$D$77,Challenges!$K$77,IF(AND(BU9&gt;=Challenges!$K$77,BU9&lt;Challenges!$J$77),BU9+1,BU9)),BU9))</f>
        <v>4</v>
      </c>
      <c r="BW9" s="0" t="n">
        <f aca="false">IF($B9="","",IF(Challenges!$L$78=1,IF($B9=Challenges!$D$78,Challenges!$K$78,IF(AND(BV9&gt;=Challenges!$K$78,BV9&lt;Challenges!$J$78),BV9+1,BV9)),BV9))</f>
        <v>4</v>
      </c>
      <c r="BX9" s="0" t="n">
        <f aca="false">IF($B9="","",IF(Challenges!$L$79=1,IF($B9=Challenges!$D$79,Challenges!$K$79,IF(AND(BW9&gt;=Challenges!$K$79,BW9&lt;Challenges!$J$79),BW9+1,BW9)),BW9))</f>
        <v>4</v>
      </c>
      <c r="BY9" s="0" t="n">
        <f aca="false">IF($B9="","",IF(Challenges!$L$80=1,IF($B9=Challenges!$D$80,Challenges!$K$80,IF(AND(BX9&gt;=Challenges!$K$80,BX9&lt;Challenges!$J$80),BX9+1,BX9)),BX9))</f>
        <v>4</v>
      </c>
      <c r="BZ9" s="0" t="n">
        <f aca="false">IF($B9="","",IF(Challenges!$L$81=1,IF($B9=Challenges!$D$81,Challenges!$K$81,IF(AND(BY9&gt;=Challenges!$K$81,BY9&lt;Challenges!$J$81),BY9+1,BY9)),BY9))</f>
        <v>4</v>
      </c>
      <c r="CA9" s="0" t="n">
        <f aca="false">IF($B9="","",IF(Challenges!$L$82=1,IF($B9=Challenges!$D$82,Challenges!$K$82,IF(AND(BZ9&gt;=Challenges!$K$82,BZ9&lt;Challenges!$J$82),BZ9+1,BZ9)),BZ9))</f>
        <v>4</v>
      </c>
      <c r="CB9" s="0" t="n">
        <f aca="false">IF($B9="","",IF(Challenges!$L$83=1,IF($B9=Challenges!$D$83,Challenges!$K$83,IF(AND(CA9&gt;=Challenges!$K$83,CA9&lt;Challenges!$J$83),CA9+1,CA9)),CA9))</f>
        <v>4</v>
      </c>
      <c r="CC9" s="0" t="n">
        <f aca="false">IF($B9="","",IF(Challenges!$L$84=1,IF($B9=Challenges!$D$84,Challenges!$K$84,IF(AND(CB9&gt;=Challenges!$K$84,CB9&lt;Challenges!$J$84),CB9+1,CB9)),CB9))</f>
        <v>4</v>
      </c>
      <c r="CD9" s="0" t="n">
        <f aca="false">IF($B9="","",IF(Challenges!$L$85=1,IF($B9=Challenges!$D$85,Challenges!$K$85,IF(AND(CC9&gt;=Challenges!$K$85,CC9&lt;Challenges!$J$85),CC9+1,CC9)),CC9))</f>
        <v>4</v>
      </c>
      <c r="CE9" s="0" t="n">
        <f aca="false">IF($B9="","",IF(Challenges!$L$86=1,IF($B9=Challenges!$D$86,Challenges!$K$86,IF(AND(CD9&gt;=Challenges!$K$86,CD9&lt;Challenges!$J$86),CD9+1,CD9)),CD9))</f>
        <v>4</v>
      </c>
      <c r="CF9" s="0" t="n">
        <f aca="false">IF($B9="","",IF(Challenges!$L$87=1,IF($B9=Challenges!$D$87,Challenges!$K$87,IF(AND(CE9&gt;=Challenges!$K$87,CE9&lt;Challenges!$J$87),CE9+1,CE9)),CE9))</f>
        <v>4</v>
      </c>
      <c r="CG9" s="0" t="n">
        <f aca="false">IF($B9="","",IF(Challenges!$L$88=1,IF($B9=Challenges!$D$88,Challenges!$K$88,IF(AND(CF9&gt;=Challenges!$K$88,CF9&lt;Challenges!$J$88),CF9+1,CF9)),CF9))</f>
        <v>4</v>
      </c>
      <c r="CH9" s="0" t="n">
        <f aca="false">IF($B9="","",IF(Challenges!$L$89=1,IF($B9=Challenges!$D$89,Challenges!$K$89,IF(AND(CG9&gt;=Challenges!$K$89,CG9&lt;Challenges!$J$89),CG9+1,CG9)),CG9))</f>
        <v>4</v>
      </c>
      <c r="CI9" s="0" t="n">
        <f aca="false">IF($B9="","",IF(Challenges!$L$90=1,IF($B9=Challenges!$D$90,Challenges!$K$90,IF(AND(CH9&gt;=Challenges!$K$90,CH9&lt;Challenges!$J$90),CH9+1,CH9)),CH9))</f>
        <v>4</v>
      </c>
      <c r="CJ9" s="0" t="n">
        <f aca="false">IF($B9="","",IF(Challenges!$L$91=1,IF($B9=Challenges!$D$91,Challenges!$K$91,IF(AND(CI9&gt;=Challenges!$K$91,CI9&lt;Challenges!$J$91),CI9+1,CI9)),CI9))</f>
        <v>4</v>
      </c>
      <c r="CK9" s="0" t="n">
        <f aca="false">IF($B9="","",IF(Challenges!$L$92=1,IF($B9=Challenges!$D$92,Challenges!$K$92,IF(AND(CJ9&gt;=Challenges!$K$92,CJ9&lt;Challenges!$J$92),CJ9+1,CJ9)),CJ9))</f>
        <v>4</v>
      </c>
      <c r="CL9" s="0" t="n">
        <f aca="false">IF($B9="","",IF(Challenges!$L$93=1,IF($B9=Challenges!$D$93,Challenges!$K$93,IF(AND(CK9&gt;=Challenges!$K$93,CK9&lt;Challenges!$J$93),CK9+1,CK9)),CK9))</f>
        <v>4</v>
      </c>
      <c r="CM9" s="0" t="n">
        <f aca="false">IF($B9="","",IF(Challenges!$L$94=1,IF($B9=Challenges!$D$94,Challenges!$K$94,IF(AND(CL9&gt;=Challenges!$K$94,CL9&lt;Challenges!$J$94),CL9+1,CL9)),CL9))</f>
        <v>4</v>
      </c>
      <c r="CN9" s="0" t="n">
        <f aca="false">IF($B9="","",IF(Challenges!$L$95=1,IF($B9=Challenges!$D$95,Challenges!$K$95,IF(AND(CM9&gt;=Challenges!$K$95,CM9&lt;Challenges!$J$95),CM9+1,CM9)),CM9))</f>
        <v>4</v>
      </c>
      <c r="CO9" s="0" t="n">
        <f aca="false">IF($B9="","",IF(Challenges!$L$96=1,IF($B9=Challenges!$D$96,Challenges!$K$96,IF(AND(CN9&gt;=Challenges!$K$96,CN9&lt;Challenges!$J$96),CN9+1,CN9)),CN9))</f>
        <v>4</v>
      </c>
      <c r="CP9" s="0" t="n">
        <f aca="false">IF($B9="","",IF(Challenges!$L$97=1,IF($B9=Challenges!$D$97,Challenges!$K$97,IF(AND(CO9&gt;=Challenges!$K$97,CO9&lt;Challenges!$J$97),CO9+1,CO9)),CO9))</f>
        <v>4</v>
      </c>
      <c r="CQ9" s="0" t="n">
        <f aca="false">IF($B9="","",IF(Challenges!$L$98=1,IF($B9=Challenges!$D$98,Challenges!$K$98,IF(AND(CP9&gt;=Challenges!$K$98,CP9&lt;Challenges!$J$98),CP9+1,CP9)),CP9))</f>
        <v>4</v>
      </c>
      <c r="CR9" s="0" t="n">
        <f aca="false">IF($B9="","",IF(Challenges!$L$99=1,IF($B9=Challenges!$D$99,Challenges!$K$99,IF(AND(CQ9&gt;=Challenges!$K$99,CQ9&lt;Challenges!$J$99),CQ9+1,CQ9)),CQ9))</f>
        <v>4</v>
      </c>
      <c r="CS9" s="0" t="n">
        <f aca="false">IF($B9="","",IF(Challenges!$L$100=1,IF($B9=Challenges!$D$100,Challenges!$K$100,IF(AND(CR9&gt;=Challenges!$K$100,CR9&lt;Challenges!$J$100),CR9+1,CR9)),CR9))</f>
        <v>4</v>
      </c>
      <c r="CT9" s="0" t="n">
        <f aca="false">IF($B9="","",IF(Challenges!$L$101=1,IF($B9=Challenges!$D$101,Challenges!$K$101,IF(AND(CS9&gt;=Challenges!$K$101,CS9&lt;Challenges!$J$101),CS9+1,CS9)),CS9))</f>
        <v>4</v>
      </c>
      <c r="CU9" s="0" t="n">
        <f aca="false">IF($B9="","",IF(Challenges!$L$102=1,IF($B9=Challenges!$D$102,Challenges!$K$102,IF(AND(CT9&gt;=Challenges!$K$102,CT9&lt;Challenges!$J$102),CT9+1,CT9)),CT9))</f>
        <v>4</v>
      </c>
      <c r="CV9" s="0" t="n">
        <f aca="false">IF($B9="","",IF(Challenges!$L$103=1,IF($B9=Challenges!$D$103,Challenges!$K$103,IF(AND(CU9&gt;=Challenges!$K$103,CU9&lt;Challenges!$J$103),CU9+1,CU9)),CU9))</f>
        <v>4</v>
      </c>
      <c r="CW9" s="0" t="n">
        <f aca="false">IF($B9="","",IF(Challenges!$L$104=1,IF($B9=Challenges!$D$104,Challenges!$K$104,IF(AND(CV9&gt;=Challenges!$K$104,CV9&lt;Challenges!$J$104),CV9+1,CV9)),CV9))</f>
        <v>4</v>
      </c>
      <c r="CX9" s="0" t="n">
        <f aca="false">IF($B9="","",IF(Challenges!$L$105=1,IF($B9=Challenges!$D$105,Challenges!$K$105,IF(AND(CW9&gt;=Challenges!$K$105,CW9&lt;Challenges!$J$105),CW9+1,CW9)),CW9))</f>
        <v>4</v>
      </c>
      <c r="CY9" s="0" t="n">
        <f aca="false">IF($B9="","",IF(Challenges!$L$106=1,IF($B9=Challenges!$D$106,Challenges!$K$106,IF(AND(CX9&gt;=Challenges!$K$106,CX9&lt;Challenges!$J$106),CX9+1,CX9)),CX9))</f>
        <v>4</v>
      </c>
    </row>
    <row r="10" customFormat="false" ht="15" hidden="false" customHeight="false" outlineLevel="0" collapsed="false">
      <c r="B10" s="0" t="str">
        <f aca="false">IF(Ladder!$C10="","",Ladder!$C10)</f>
        <v>Tom</v>
      </c>
      <c r="C10" s="0" t="n">
        <f aca="false">IF($B10="","",ROW()-6)</f>
        <v>4</v>
      </c>
      <c r="D10" s="0" t="n">
        <f aca="false">IF($B10="","",IF(Challenges!$L$7=1,IF($B10=Challenges!$D$7,Challenges!$K$7,IF(AND(C10&gt;=Challenges!$K$7,C10&lt;Challenges!$J$7),C10+1,C10)),C10))</f>
        <v>5</v>
      </c>
      <c r="E10" s="0" t="n">
        <f aca="false">IF($B10="","",IF(Challenges!$L$8=1,IF($B10=Challenges!$D$8,Challenges!$K$8,IF(AND(D10&gt;=Challenges!$K$8,D10&lt;Challenges!$J$8),D10+1,D10)),D10))</f>
        <v>5</v>
      </c>
      <c r="F10" s="0" t="n">
        <f aca="false">IF($B10="","",IF(Challenges!$L$9=1,IF($B10=Challenges!$D$9,Challenges!$K$9,IF(AND(E10&gt;=Challenges!$K$9,E10&lt;Challenges!$J$9),E10+1,E10)),E10))</f>
        <v>5</v>
      </c>
      <c r="G10" s="0" t="n">
        <f aca="false">IF($B10="","",IF(Challenges!$L$10=1,IF($B10=Challenges!$D$10,Challenges!$K$10,IF(AND(F10&gt;=Challenges!$K$10,F10&lt;Challenges!$J$10),F10+1,F10)),F10))</f>
        <v>5</v>
      </c>
      <c r="H10" s="0" t="n">
        <f aca="false">IF($B10="","",IF(Challenges!$L$11=1,IF($B10=Challenges!$D$11,Challenges!$K$11,IF(AND(G10&gt;=Challenges!$K$11,G10&lt;Challenges!$J$11),G10+1,G10)),G10))</f>
        <v>5</v>
      </c>
      <c r="I10" s="0" t="n">
        <f aca="false">IF($B10="","",IF(Challenges!$L$12=1,IF($B10=Challenges!$D$12,Challenges!$K$12,IF(AND(H10&gt;=Challenges!$K$12,H10&lt;Challenges!$J$12),H10+1,H10)),H10))</f>
        <v>5</v>
      </c>
      <c r="J10" s="0" t="n">
        <f aca="false">IF($B10="","",IF(Challenges!$L$13=1,IF($B10=Challenges!$D$13,Challenges!$K$13,IF(AND(I10&gt;=Challenges!$K$13,I10&lt;Challenges!$J$13),I10+1,I10)),I10))</f>
        <v>5</v>
      </c>
      <c r="K10" s="0" t="n">
        <f aca="false">IF($B10="","",IF(Challenges!$L$14=1,IF($B10=Challenges!$D$14,Challenges!$K$14,IF(AND(J10&gt;=Challenges!$K$14,J10&lt;Challenges!$J$14),J10+1,J10)),J10))</f>
        <v>5</v>
      </c>
      <c r="L10" s="0" t="n">
        <f aca="false">IF($B10="","",IF(Challenges!$L$15=1,IF($B10=Challenges!$D$15,Challenges!$K$15,IF(AND(K10&gt;=Challenges!$K$15,K10&lt;Challenges!$J$15),K10+1,K10)),K10))</f>
        <v>5</v>
      </c>
      <c r="M10" s="0" t="n">
        <f aca="false">IF($B10="","",IF(Challenges!$L$16=1,IF($B10=Challenges!$D$16,Challenges!$K$16,IF(AND(L10&gt;=Challenges!$K$16,L10&lt;Challenges!$J$16),L10+1,L10)),L10))</f>
        <v>5</v>
      </c>
      <c r="N10" s="0" t="n">
        <f aca="false">IF($B10="","",IF(Challenges!$L$17=1,IF($B10=Challenges!$D$17,Challenges!$K$17,IF(AND(M10&gt;=Challenges!$K$17,M10&lt;Challenges!$J$17),M10+1,M10)),M10))</f>
        <v>5</v>
      </c>
      <c r="O10" s="0" t="n">
        <f aca="false">IF($B10="","",IF(Challenges!$L$18=1,IF($B10=Challenges!$D$18,Challenges!$K$18,IF(AND(N10&gt;=Challenges!$K$18,N10&lt;Challenges!$J$18),N10+1,N10)),N10))</f>
        <v>5</v>
      </c>
      <c r="P10" s="0" t="n">
        <f aca="false">IF($B10="","",IF(Challenges!$L$19=1,IF($B10=Challenges!$D$19,Challenges!$K$19,IF(AND(O10&gt;=Challenges!$K$19,O10&lt;Challenges!$J$19),O10+1,O10)),O10))</f>
        <v>5</v>
      </c>
      <c r="Q10" s="0" t="n">
        <f aca="false">IF($B10="","",IF(Challenges!$L$20=1,IF($B10=Challenges!$D$20,Challenges!$K$20,IF(AND(P10&gt;=Challenges!$K$20,P10&lt;Challenges!$J$20),P10+1,P10)),P10))</f>
        <v>5</v>
      </c>
      <c r="R10" s="0" t="n">
        <f aca="false">IF($B10="","",IF(Challenges!$L$21=1,IF($B10=Challenges!$D$21,Challenges!$K$21,IF(AND(Q10&gt;=Challenges!$K$21,Q10&lt;Challenges!$J$21),Q10+1,Q10)),Q10))</f>
        <v>5</v>
      </c>
      <c r="S10" s="0" t="n">
        <f aca="false">IF($B10="","",IF(Challenges!$L$22=1,IF($B10=Challenges!$D$22,Challenges!$K$22,IF(AND(R10&gt;=Challenges!$K$22,R10&lt;Challenges!$J$22),R10+1,R10)),R10))</f>
        <v>5</v>
      </c>
      <c r="T10" s="0" t="n">
        <f aca="false">IF($B10="","",IF(Challenges!$L$23=1,IF($B10=Challenges!$D$23,Challenges!$K$23,IF(AND(S10&gt;=Challenges!$K$23,S10&lt;Challenges!$J$23),S10+1,S10)),S10))</f>
        <v>5</v>
      </c>
      <c r="U10" s="0" t="n">
        <f aca="false">IF($B10="","",IF(Challenges!$L$24=1,IF($B10=Challenges!$D$24,Challenges!$K$24,IF(AND(T10&gt;=Challenges!$K$24,T10&lt;Challenges!$J$24),T10+1,T10)),T10))</f>
        <v>5</v>
      </c>
      <c r="V10" s="0" t="n">
        <f aca="false">IF($B10="","",IF(Challenges!$L$25=1,IF($B10=Challenges!$D$25,Challenges!$K$25,IF(AND(U10&gt;=Challenges!$K$25,U10&lt;Challenges!$J$25),U10+1,U10)),U10))</f>
        <v>5</v>
      </c>
      <c r="W10" s="0" t="n">
        <f aca="false">IF($B10="","",IF(Challenges!$L$26=1,IF($B10=Challenges!$D$26,Challenges!$K$26,IF(AND(V10&gt;=Challenges!$K$26,V10&lt;Challenges!$J$26),V10+1,V10)),V10))</f>
        <v>5</v>
      </c>
      <c r="X10" s="0" t="n">
        <f aca="false">IF($B10="","",IF(Challenges!$L$27=1,IF($B10=Challenges!$D$27,Challenges!$K$27,IF(AND(W10&gt;=Challenges!$K$27,W10&lt;Challenges!$J$27),W10+1,W10)),W10))</f>
        <v>5</v>
      </c>
      <c r="Y10" s="0" t="n">
        <f aca="false">IF($B10="","",IF(Challenges!$L$28=1,IF($B10=Challenges!$D$28,Challenges!$K$28,IF(AND(X10&gt;=Challenges!$K$28,X10&lt;Challenges!$J$28),X10+1,X10)),X10))</f>
        <v>5</v>
      </c>
      <c r="Z10" s="0" t="n">
        <f aca="false">IF($B10="","",IF(Challenges!$L$29=1,IF($B10=Challenges!$D$29,Challenges!$K$29,IF(AND(Y10&gt;=Challenges!$K$29,Y10&lt;Challenges!$J$29),Y10+1,Y10)),Y10))</f>
        <v>5</v>
      </c>
      <c r="AA10" s="0" t="n">
        <f aca="false">IF($B10="","",IF(Challenges!$L$30=1,IF($B10=Challenges!$D$30,Challenges!$K$30,IF(AND(Z10&gt;=Challenges!$K$30,Z10&lt;Challenges!$J$30),Z10+1,Z10)),Z10))</f>
        <v>5</v>
      </c>
      <c r="AB10" s="0" t="n">
        <f aca="false">IF($B10="","",IF(Challenges!$L$31=1,IF($B10=Challenges!$D$31,Challenges!$K$31,IF(AND(AA10&gt;=Challenges!$K$31,AA10&lt;Challenges!$J$31),AA10+1,AA10)),AA10))</f>
        <v>5</v>
      </c>
      <c r="AC10" s="0" t="n">
        <f aca="false">IF($B10="","",IF(Challenges!$L$32=1,IF($B10=Challenges!$D$32,Challenges!$K$32,IF(AND(AB10&gt;=Challenges!$K$32,AB10&lt;Challenges!$J$32),AB10+1,AB10)),AB10))</f>
        <v>5</v>
      </c>
      <c r="AD10" s="0" t="n">
        <f aca="false">IF($B10="","",IF(Challenges!$L$33=1,IF($B10=Challenges!$D$33,Challenges!$K$33,IF(AND(AC10&gt;=Challenges!$K$33,AC10&lt;Challenges!$J$33),AC10+1,AC10)),AC10))</f>
        <v>5</v>
      </c>
      <c r="AE10" s="0" t="n">
        <f aca="false">IF($B10="","",IF(Challenges!$L$34=1,IF($B10=Challenges!$D$34,Challenges!$K$34,IF(AND(AD10&gt;=Challenges!$K$34,AD10&lt;Challenges!$J$34),AD10+1,AD10)),AD10))</f>
        <v>5</v>
      </c>
      <c r="AF10" s="0" t="n">
        <f aca="false">IF($B10="","",IF(Challenges!$L$35=1,IF($B10=Challenges!$D$35,Challenges!$K$35,IF(AND(AE10&gt;=Challenges!$K$35,AE10&lt;Challenges!$J$35),AE10+1,AE10)),AE10))</f>
        <v>5</v>
      </c>
      <c r="AG10" s="0" t="n">
        <f aca="false">IF($B10="","",IF(Challenges!$L$36=1,IF($B10=Challenges!$D$36,Challenges!$K$36,IF(AND(AF10&gt;=Challenges!$K$36,AF10&lt;Challenges!$J$36),AF10+1,AF10)),AF10))</f>
        <v>5</v>
      </c>
      <c r="AH10" s="0" t="n">
        <f aca="false">IF($B10="","",IF(Challenges!$L$37=1,IF($B10=Challenges!$D$37,Challenges!$K$37,IF(AND(AG10&gt;=Challenges!$K$37,AG10&lt;Challenges!$J$37),AG10+1,AG10)),AG10))</f>
        <v>5</v>
      </c>
      <c r="AI10" s="0" t="n">
        <f aca="false">IF($B10="","",IF(Challenges!$L$38=1,IF($B10=Challenges!$D$38,Challenges!$K$38,IF(AND(AH10&gt;=Challenges!$K$38,AH10&lt;Challenges!$J$38),AH10+1,AH10)),AH10))</f>
        <v>5</v>
      </c>
      <c r="AJ10" s="0" t="n">
        <f aca="false">IF($B10="","",IF(Challenges!$L$39=1,IF($B10=Challenges!$D$39,Challenges!$K$39,IF(AND(AI10&gt;=Challenges!$K$39,AI10&lt;Challenges!$J$39),AI10+1,AI10)),AI10))</f>
        <v>5</v>
      </c>
      <c r="AK10" s="0" t="n">
        <f aca="false">IF($B10="","",IF(Challenges!$L$40=1,IF($B10=Challenges!$D$40,Challenges!$K$40,IF(AND(AJ10&gt;=Challenges!$K$40,AJ10&lt;Challenges!$J$40),AJ10+1,AJ10)),AJ10))</f>
        <v>5</v>
      </c>
      <c r="AL10" s="0" t="n">
        <f aca="false">IF($B10="","",IF(Challenges!$L$41=1,IF($B10=Challenges!$D$41,Challenges!$K$41,IF(AND(AK10&gt;=Challenges!$K$41,AK10&lt;Challenges!$J$41),AK10+1,AK10)),AK10))</f>
        <v>5</v>
      </c>
      <c r="AM10" s="0" t="n">
        <f aca="false">IF($B10="","",IF(Challenges!$L$42=1,IF($B10=Challenges!$D$42,Challenges!$K$42,IF(AND(AL10&gt;=Challenges!$K$42,AL10&lt;Challenges!$J$42),AL10+1,AL10)),AL10))</f>
        <v>5</v>
      </c>
      <c r="AN10" s="0" t="n">
        <f aca="false">IF($B10="","",IF(Challenges!$L$43=1,IF($B10=Challenges!$D$43,Challenges!$K$43,IF(AND(AM10&gt;=Challenges!$K$43,AM10&lt;Challenges!$J$43),AM10+1,AM10)),AM10))</f>
        <v>5</v>
      </c>
      <c r="AO10" s="0" t="n">
        <f aca="false">IF($B10="","",IF(Challenges!$L$44=1,IF($B10=Challenges!$D$44,Challenges!$K$44,IF(AND(AN10&gt;=Challenges!$K$44,AN10&lt;Challenges!$J$44),AN10+1,AN10)),AN10))</f>
        <v>5</v>
      </c>
      <c r="AP10" s="0" t="n">
        <f aca="false">IF($B10="","",IF(Challenges!$L$45=1,IF($B10=Challenges!$D$45,Challenges!$K$45,IF(AND(AO10&gt;=Challenges!$K$45,AO10&lt;Challenges!$J$45),AO10+1,AO10)),AO10))</f>
        <v>5</v>
      </c>
      <c r="AQ10" s="0" t="n">
        <f aca="false">IF($B10="","",IF(Challenges!$L$46=1,IF($B10=Challenges!$D$46,Challenges!$K$46,IF(AND(AP10&gt;=Challenges!$K$46,AP10&lt;Challenges!$J$46),AP10+1,AP10)),AP10))</f>
        <v>5</v>
      </c>
      <c r="AR10" s="0" t="n">
        <f aca="false">IF($B10="","",IF(Challenges!$L$47=1,IF($B10=Challenges!$D$47,Challenges!$K$47,IF(AND(AQ10&gt;=Challenges!$K$47,AQ10&lt;Challenges!$J$47),AQ10+1,AQ10)),AQ10))</f>
        <v>5</v>
      </c>
      <c r="AS10" s="0" t="n">
        <f aca="false">IF($B10="","",IF(Challenges!$L$48=1,IF($B10=Challenges!$D$48,Challenges!$K$48,IF(AND(AR10&gt;=Challenges!$K$48,AR10&lt;Challenges!$J$48),AR10+1,AR10)),AR10))</f>
        <v>5</v>
      </c>
      <c r="AT10" s="0" t="n">
        <f aca="false">IF($B10="","",IF(Challenges!$L$49=1,IF($B10=Challenges!$D$49,Challenges!$K$49,IF(AND(AS10&gt;=Challenges!$K$49,AS10&lt;Challenges!$J$49),AS10+1,AS10)),AS10))</f>
        <v>5</v>
      </c>
      <c r="AU10" s="0" t="n">
        <f aca="false">IF($B10="","",IF(Challenges!$L$50=1,IF($B10=Challenges!$D$50,Challenges!$K$50,IF(AND(AT10&gt;=Challenges!$K$50,AT10&lt;Challenges!$J$50),AT10+1,AT10)),AT10))</f>
        <v>5</v>
      </c>
      <c r="AV10" s="0" t="n">
        <f aca="false">IF($B10="","",IF(Challenges!$L$51=1,IF($B10=Challenges!$D$51,Challenges!$K$51,IF(AND(AU10&gt;=Challenges!$K$51,AU10&lt;Challenges!$J$51),AU10+1,AU10)),AU10))</f>
        <v>5</v>
      </c>
      <c r="AW10" s="0" t="n">
        <f aca="false">IF($B10="","",IF(Challenges!$L$52=1,IF($B10=Challenges!$D$52,Challenges!$K$52,IF(AND(AV10&gt;=Challenges!$K$52,AV10&lt;Challenges!$J$52),AV10+1,AV10)),AV10))</f>
        <v>5</v>
      </c>
      <c r="AX10" s="0" t="n">
        <f aca="false">IF($B10="","",IF(Challenges!$L$53=1,IF($B10=Challenges!$D$53,Challenges!$K$53,IF(AND(AW10&gt;=Challenges!$K$53,AW10&lt;Challenges!$J$53),AW10+1,AW10)),AW10))</f>
        <v>5</v>
      </c>
      <c r="AY10" s="0" t="n">
        <f aca="false">IF($B10="","",IF(Challenges!$L$54=1,IF($B10=Challenges!$D$54,Challenges!$K$54,IF(AND(AX10&gt;=Challenges!$K$54,AX10&lt;Challenges!$J$54),AX10+1,AX10)),AX10))</f>
        <v>5</v>
      </c>
      <c r="AZ10" s="0" t="n">
        <f aca="false">IF($B10="","",IF(Challenges!$L$55=1,IF($B10=Challenges!$D$55,Challenges!$K$55,IF(AND(AY10&gt;=Challenges!$K$55,AY10&lt;Challenges!$J$55),AY10+1,AY10)),AY10))</f>
        <v>5</v>
      </c>
      <c r="BA10" s="0" t="n">
        <f aca="false">IF($B10="","",IF(Challenges!$L$56=1,IF($B10=Challenges!$D$56,Challenges!$K$56,IF(AND(AZ10&gt;=Challenges!$K$56,AZ10&lt;Challenges!$J$56),AZ10+1,AZ10)),AZ10))</f>
        <v>5</v>
      </c>
      <c r="BB10" s="0" t="n">
        <f aca="false">IF($B10="","",IF(Challenges!$L$57=1,IF($B10=Challenges!$D$57,Challenges!$K$57,IF(AND(BA10&gt;=Challenges!$K$57,BA10&lt;Challenges!$J$57),BA10+1,BA10)),BA10))</f>
        <v>5</v>
      </c>
      <c r="BC10" s="0" t="n">
        <f aca="false">IF($B10="","",IF(Challenges!$L$58=1,IF($B10=Challenges!$D$58,Challenges!$K$58,IF(AND(BB10&gt;=Challenges!$K$58,BB10&lt;Challenges!$J$58),BB10+1,BB10)),BB10))</f>
        <v>5</v>
      </c>
      <c r="BD10" s="0" t="n">
        <f aca="false">IF($B10="","",IF(Challenges!$L$59=1,IF($B10=Challenges!$D$59,Challenges!$K$59,IF(AND(BC10&gt;=Challenges!$K$59,BC10&lt;Challenges!$J$59),BC10+1,BC10)),BC10))</f>
        <v>5</v>
      </c>
      <c r="BE10" s="0" t="n">
        <f aca="false">IF($B10="","",IF(Challenges!$L$60=1,IF($B10=Challenges!$D$60,Challenges!$K$60,IF(AND(BD10&gt;=Challenges!$K$60,BD10&lt;Challenges!$J$60),BD10+1,BD10)),BD10))</f>
        <v>5</v>
      </c>
      <c r="BF10" s="0" t="n">
        <f aca="false">IF($B10="","",IF(Challenges!$L$61=1,IF($B10=Challenges!$D$61,Challenges!$K$61,IF(AND(BE10&gt;=Challenges!$K$61,BE10&lt;Challenges!$J$61),BE10+1,BE10)),BE10))</f>
        <v>5</v>
      </c>
      <c r="BG10" s="0" t="n">
        <f aca="false">IF($B10="","",IF(Challenges!$L$62=1,IF($B10=Challenges!$D$62,Challenges!$K$62,IF(AND(BF10&gt;=Challenges!$K$62,BF10&lt;Challenges!$J$62),BF10+1,BF10)),BF10))</f>
        <v>5</v>
      </c>
      <c r="BH10" s="0" t="n">
        <f aca="false">IF($B10="","",IF(Challenges!$L$63=1,IF($B10=Challenges!$D$63,Challenges!$K$63,IF(AND(BG10&gt;=Challenges!$K$63,BG10&lt;Challenges!$J$63),BG10+1,BG10)),BG10))</f>
        <v>5</v>
      </c>
      <c r="BI10" s="0" t="n">
        <f aca="false">IF($B10="","",IF(Challenges!$L$64=1,IF($B10=Challenges!$D$64,Challenges!$K$64,IF(AND(BH10&gt;=Challenges!$K$64,BH10&lt;Challenges!$J$64),BH10+1,BH10)),BH10))</f>
        <v>5</v>
      </c>
      <c r="BJ10" s="0" t="n">
        <f aca="false">IF($B10="","",IF(Challenges!$L$65=1,IF($B10=Challenges!$D$65,Challenges!$K$65,IF(AND(BI10&gt;=Challenges!$K$65,BI10&lt;Challenges!$J$65),BI10+1,BI10)),BI10))</f>
        <v>5</v>
      </c>
      <c r="BK10" s="0" t="n">
        <f aca="false">IF($B10="","",IF(Challenges!$L$66=1,IF($B10=Challenges!$D$66,Challenges!$K$66,IF(AND(BJ10&gt;=Challenges!$K$66,BJ10&lt;Challenges!$J$66),BJ10+1,BJ10)),BJ10))</f>
        <v>5</v>
      </c>
      <c r="BL10" s="0" t="n">
        <f aca="false">IF($B10="","",IF(Challenges!$L$67=1,IF($B10=Challenges!$D$67,Challenges!$K$67,IF(AND(BK10&gt;=Challenges!$K$67,BK10&lt;Challenges!$J$67),BK10+1,BK10)),BK10))</f>
        <v>5</v>
      </c>
      <c r="BM10" s="0" t="n">
        <f aca="false">IF($B10="","",IF(Challenges!$L$68=1,IF($B10=Challenges!$D$68,Challenges!$K$68,IF(AND(BL10&gt;=Challenges!$K$68,BL10&lt;Challenges!$J$68),BL10+1,BL10)),BL10))</f>
        <v>5</v>
      </c>
      <c r="BN10" s="0" t="n">
        <f aca="false">IF($B10="","",IF(Challenges!$L$69=1,IF($B10=Challenges!$D$69,Challenges!$K$69,IF(AND(BM10&gt;=Challenges!$K$69,BM10&lt;Challenges!$J$69),BM10+1,BM10)),BM10))</f>
        <v>5</v>
      </c>
      <c r="BO10" s="0" t="n">
        <f aca="false">IF($B10="","",IF(Challenges!$L$70=1,IF($B10=Challenges!$D$70,Challenges!$K$70,IF(AND(BN10&gt;=Challenges!$K$70,BN10&lt;Challenges!$J$70),BN10+1,BN10)),BN10))</f>
        <v>5</v>
      </c>
      <c r="BP10" s="0" t="n">
        <f aca="false">IF($B10="","",IF(Challenges!$L$71=1,IF($B10=Challenges!$D$71,Challenges!$K$71,IF(AND(BO10&gt;=Challenges!$K$71,BO10&lt;Challenges!$J$71),BO10+1,BO10)),BO10))</f>
        <v>5</v>
      </c>
      <c r="BQ10" s="0" t="n">
        <f aca="false">IF($B10="","",IF(Challenges!$L$72=1,IF($B10=Challenges!$D$72,Challenges!$K$72,IF(AND(BP10&gt;=Challenges!$K$72,BP10&lt;Challenges!$J$72),BP10+1,BP10)),BP10))</f>
        <v>5</v>
      </c>
      <c r="BR10" s="0" t="n">
        <f aca="false">IF($B10="","",IF(Challenges!$L$73=1,IF($B10=Challenges!$D$73,Challenges!$K$73,IF(AND(BQ10&gt;=Challenges!$K$73,BQ10&lt;Challenges!$J$73),BQ10+1,BQ10)),BQ10))</f>
        <v>5</v>
      </c>
      <c r="BS10" s="0" t="n">
        <f aca="false">IF($B10="","",IF(Challenges!$L$74=1,IF($B10=Challenges!$D$74,Challenges!$K$74,IF(AND(BR10&gt;=Challenges!$K$74,BR10&lt;Challenges!$J$74),BR10+1,BR10)),BR10))</f>
        <v>5</v>
      </c>
      <c r="BT10" s="0" t="n">
        <f aca="false">IF($B10="","",IF(Challenges!$L$75=1,IF($B10=Challenges!$D$75,Challenges!$K$75,IF(AND(BS10&gt;=Challenges!$K$75,BS10&lt;Challenges!$J$75),BS10+1,BS10)),BS10))</f>
        <v>5</v>
      </c>
      <c r="BU10" s="0" t="n">
        <f aca="false">IF($B10="","",IF(Challenges!$L$76=1,IF($B10=Challenges!$D$76,Challenges!$K$76,IF(AND(BT10&gt;=Challenges!$K$76,BT10&lt;Challenges!$J$76),BT10+1,BT10)),BT10))</f>
        <v>5</v>
      </c>
      <c r="BV10" s="0" t="n">
        <f aca="false">IF($B10="","",IF(Challenges!$L$77=1,IF($B10=Challenges!$D$77,Challenges!$K$77,IF(AND(BU10&gt;=Challenges!$K$77,BU10&lt;Challenges!$J$77),BU10+1,BU10)),BU10))</f>
        <v>5</v>
      </c>
      <c r="BW10" s="0" t="n">
        <f aca="false">IF($B10="","",IF(Challenges!$L$78=1,IF($B10=Challenges!$D$78,Challenges!$K$78,IF(AND(BV10&gt;=Challenges!$K$78,BV10&lt;Challenges!$J$78),BV10+1,BV10)),BV10))</f>
        <v>5</v>
      </c>
      <c r="BX10" s="0" t="n">
        <f aca="false">IF($B10="","",IF(Challenges!$L$79=1,IF($B10=Challenges!$D$79,Challenges!$K$79,IF(AND(BW10&gt;=Challenges!$K$79,BW10&lt;Challenges!$J$79),BW10+1,BW10)),BW10))</f>
        <v>5</v>
      </c>
      <c r="BY10" s="0" t="n">
        <f aca="false">IF($B10="","",IF(Challenges!$L$80=1,IF($B10=Challenges!$D$80,Challenges!$K$80,IF(AND(BX10&gt;=Challenges!$K$80,BX10&lt;Challenges!$J$80),BX10+1,BX10)),BX10))</f>
        <v>5</v>
      </c>
      <c r="BZ10" s="0" t="n">
        <f aca="false">IF($B10="","",IF(Challenges!$L$81=1,IF($B10=Challenges!$D$81,Challenges!$K$81,IF(AND(BY10&gt;=Challenges!$K$81,BY10&lt;Challenges!$J$81),BY10+1,BY10)),BY10))</f>
        <v>5</v>
      </c>
      <c r="CA10" s="0" t="n">
        <f aca="false">IF($B10="","",IF(Challenges!$L$82=1,IF($B10=Challenges!$D$82,Challenges!$K$82,IF(AND(BZ10&gt;=Challenges!$K$82,BZ10&lt;Challenges!$J$82),BZ10+1,BZ10)),BZ10))</f>
        <v>5</v>
      </c>
      <c r="CB10" s="0" t="n">
        <f aca="false">IF($B10="","",IF(Challenges!$L$83=1,IF($B10=Challenges!$D$83,Challenges!$K$83,IF(AND(CA10&gt;=Challenges!$K$83,CA10&lt;Challenges!$J$83),CA10+1,CA10)),CA10))</f>
        <v>5</v>
      </c>
      <c r="CC10" s="0" t="n">
        <f aca="false">IF($B10="","",IF(Challenges!$L$84=1,IF($B10=Challenges!$D$84,Challenges!$K$84,IF(AND(CB10&gt;=Challenges!$K$84,CB10&lt;Challenges!$J$84),CB10+1,CB10)),CB10))</f>
        <v>5</v>
      </c>
      <c r="CD10" s="0" t="n">
        <f aca="false">IF($B10="","",IF(Challenges!$L$85=1,IF($B10=Challenges!$D$85,Challenges!$K$85,IF(AND(CC10&gt;=Challenges!$K$85,CC10&lt;Challenges!$J$85),CC10+1,CC10)),CC10))</f>
        <v>5</v>
      </c>
      <c r="CE10" s="0" t="n">
        <f aca="false">IF($B10="","",IF(Challenges!$L$86=1,IF($B10=Challenges!$D$86,Challenges!$K$86,IF(AND(CD10&gt;=Challenges!$K$86,CD10&lt;Challenges!$J$86),CD10+1,CD10)),CD10))</f>
        <v>5</v>
      </c>
      <c r="CF10" s="0" t="n">
        <f aca="false">IF($B10="","",IF(Challenges!$L$87=1,IF($B10=Challenges!$D$87,Challenges!$K$87,IF(AND(CE10&gt;=Challenges!$K$87,CE10&lt;Challenges!$J$87),CE10+1,CE10)),CE10))</f>
        <v>5</v>
      </c>
      <c r="CG10" s="0" t="n">
        <f aca="false">IF($B10="","",IF(Challenges!$L$88=1,IF($B10=Challenges!$D$88,Challenges!$K$88,IF(AND(CF10&gt;=Challenges!$K$88,CF10&lt;Challenges!$J$88),CF10+1,CF10)),CF10))</f>
        <v>5</v>
      </c>
      <c r="CH10" s="0" t="n">
        <f aca="false">IF($B10="","",IF(Challenges!$L$89=1,IF($B10=Challenges!$D$89,Challenges!$K$89,IF(AND(CG10&gt;=Challenges!$K$89,CG10&lt;Challenges!$J$89),CG10+1,CG10)),CG10))</f>
        <v>5</v>
      </c>
      <c r="CI10" s="0" t="n">
        <f aca="false">IF($B10="","",IF(Challenges!$L$90=1,IF($B10=Challenges!$D$90,Challenges!$K$90,IF(AND(CH10&gt;=Challenges!$K$90,CH10&lt;Challenges!$J$90),CH10+1,CH10)),CH10))</f>
        <v>5</v>
      </c>
      <c r="CJ10" s="0" t="n">
        <f aca="false">IF($B10="","",IF(Challenges!$L$91=1,IF($B10=Challenges!$D$91,Challenges!$K$91,IF(AND(CI10&gt;=Challenges!$K$91,CI10&lt;Challenges!$J$91),CI10+1,CI10)),CI10))</f>
        <v>5</v>
      </c>
      <c r="CK10" s="0" t="n">
        <f aca="false">IF($B10="","",IF(Challenges!$L$92=1,IF($B10=Challenges!$D$92,Challenges!$K$92,IF(AND(CJ10&gt;=Challenges!$K$92,CJ10&lt;Challenges!$J$92),CJ10+1,CJ10)),CJ10))</f>
        <v>5</v>
      </c>
      <c r="CL10" s="0" t="n">
        <f aca="false">IF($B10="","",IF(Challenges!$L$93=1,IF($B10=Challenges!$D$93,Challenges!$K$93,IF(AND(CK10&gt;=Challenges!$K$93,CK10&lt;Challenges!$J$93),CK10+1,CK10)),CK10))</f>
        <v>5</v>
      </c>
      <c r="CM10" s="0" t="n">
        <f aca="false">IF($B10="","",IF(Challenges!$L$94=1,IF($B10=Challenges!$D$94,Challenges!$K$94,IF(AND(CL10&gt;=Challenges!$K$94,CL10&lt;Challenges!$J$94),CL10+1,CL10)),CL10))</f>
        <v>5</v>
      </c>
      <c r="CN10" s="0" t="n">
        <f aca="false">IF($B10="","",IF(Challenges!$L$95=1,IF($B10=Challenges!$D$95,Challenges!$K$95,IF(AND(CM10&gt;=Challenges!$K$95,CM10&lt;Challenges!$J$95),CM10+1,CM10)),CM10))</f>
        <v>5</v>
      </c>
      <c r="CO10" s="0" t="n">
        <f aca="false">IF($B10="","",IF(Challenges!$L$96=1,IF($B10=Challenges!$D$96,Challenges!$K$96,IF(AND(CN10&gt;=Challenges!$K$96,CN10&lt;Challenges!$J$96),CN10+1,CN10)),CN10))</f>
        <v>5</v>
      </c>
      <c r="CP10" s="0" t="n">
        <f aca="false">IF($B10="","",IF(Challenges!$L$97=1,IF($B10=Challenges!$D$97,Challenges!$K$97,IF(AND(CO10&gt;=Challenges!$K$97,CO10&lt;Challenges!$J$97),CO10+1,CO10)),CO10))</f>
        <v>5</v>
      </c>
      <c r="CQ10" s="0" t="n">
        <f aca="false">IF($B10="","",IF(Challenges!$L$98=1,IF($B10=Challenges!$D$98,Challenges!$K$98,IF(AND(CP10&gt;=Challenges!$K$98,CP10&lt;Challenges!$J$98),CP10+1,CP10)),CP10))</f>
        <v>5</v>
      </c>
      <c r="CR10" s="0" t="n">
        <f aca="false">IF($B10="","",IF(Challenges!$L$99=1,IF($B10=Challenges!$D$99,Challenges!$K$99,IF(AND(CQ10&gt;=Challenges!$K$99,CQ10&lt;Challenges!$J$99),CQ10+1,CQ10)),CQ10))</f>
        <v>5</v>
      </c>
      <c r="CS10" s="0" t="n">
        <f aca="false">IF($B10="","",IF(Challenges!$L$100=1,IF($B10=Challenges!$D$100,Challenges!$K$100,IF(AND(CR10&gt;=Challenges!$K$100,CR10&lt;Challenges!$J$100),CR10+1,CR10)),CR10))</f>
        <v>5</v>
      </c>
      <c r="CT10" s="0" t="n">
        <f aca="false">IF($B10="","",IF(Challenges!$L$101=1,IF($B10=Challenges!$D$101,Challenges!$K$101,IF(AND(CS10&gt;=Challenges!$K$101,CS10&lt;Challenges!$J$101),CS10+1,CS10)),CS10))</f>
        <v>5</v>
      </c>
      <c r="CU10" s="0" t="n">
        <f aca="false">IF($B10="","",IF(Challenges!$L$102=1,IF($B10=Challenges!$D$102,Challenges!$K$102,IF(AND(CT10&gt;=Challenges!$K$102,CT10&lt;Challenges!$J$102),CT10+1,CT10)),CT10))</f>
        <v>5</v>
      </c>
      <c r="CV10" s="0" t="n">
        <f aca="false">IF($B10="","",IF(Challenges!$L$103=1,IF($B10=Challenges!$D$103,Challenges!$K$103,IF(AND(CU10&gt;=Challenges!$K$103,CU10&lt;Challenges!$J$103),CU10+1,CU10)),CU10))</f>
        <v>5</v>
      </c>
      <c r="CW10" s="0" t="n">
        <f aca="false">IF($B10="","",IF(Challenges!$L$104=1,IF($B10=Challenges!$D$104,Challenges!$K$104,IF(AND(CV10&gt;=Challenges!$K$104,CV10&lt;Challenges!$J$104),CV10+1,CV10)),CV10))</f>
        <v>5</v>
      </c>
      <c r="CX10" s="0" t="n">
        <f aca="false">IF($B10="","",IF(Challenges!$L$105=1,IF($B10=Challenges!$D$105,Challenges!$K$105,IF(AND(CW10&gt;=Challenges!$K$105,CW10&lt;Challenges!$J$105),CW10+1,CW10)),CW10))</f>
        <v>5</v>
      </c>
      <c r="CY10" s="0" t="n">
        <f aca="false">IF($B10="","",IF(Challenges!$L$106=1,IF($B10=Challenges!$D$106,Challenges!$K$106,IF(AND(CX10&gt;=Challenges!$K$106,CX10&lt;Challenges!$J$106),CX10+1,CX10)),CX10))</f>
        <v>5</v>
      </c>
    </row>
    <row r="11" customFormat="false" ht="15" hidden="false" customHeight="false" outlineLevel="0" collapsed="false">
      <c r="B11" s="0" t="str">
        <f aca="false">IF(Ladder!$C11="","",Ladder!$C11)</f>
        <v>Sofia</v>
      </c>
      <c r="C11" s="0" t="n">
        <f aca="false">IF($B11="","",ROW()-6)</f>
        <v>5</v>
      </c>
      <c r="D11" s="0" t="n">
        <f aca="false">IF($B11="","",IF(Challenges!$L$7=1,IF($B11=Challenges!$D$7,Challenges!$K$7,IF(AND(C11&gt;=Challenges!$K$7,C11&lt;Challenges!$J$7),C11+1,C11)),C11))</f>
        <v>3</v>
      </c>
      <c r="E11" s="0" t="n">
        <f aca="false">IF($B11="","",IF(Challenges!$L$8=1,IF($B11=Challenges!$D$8,Challenges!$K$8,IF(AND(D11&gt;=Challenges!$K$8,D11&lt;Challenges!$J$8),D11+1,D11)),D11))</f>
        <v>3</v>
      </c>
      <c r="F11" s="0" t="n">
        <f aca="false">IF($B11="","",IF(Challenges!$L$9=1,IF($B11=Challenges!$D$9,Challenges!$K$9,IF(AND(E11&gt;=Challenges!$K$9,E11&lt;Challenges!$J$9),E11+1,E11)),E11))</f>
        <v>3</v>
      </c>
      <c r="G11" s="0" t="n">
        <f aca="false">IF($B11="","",IF(Challenges!$L$10=1,IF($B11=Challenges!$D$10,Challenges!$K$10,IF(AND(F11&gt;=Challenges!$K$10,F11&lt;Challenges!$J$10),F11+1,F11)),F11))</f>
        <v>3</v>
      </c>
      <c r="H11" s="0" t="n">
        <f aca="false">IF($B11="","",IF(Challenges!$L$11=1,IF($B11=Challenges!$D$11,Challenges!$K$11,IF(AND(G11&gt;=Challenges!$K$11,G11&lt;Challenges!$J$11),G11+1,G11)),G11))</f>
        <v>3</v>
      </c>
      <c r="I11" s="0" t="n">
        <f aca="false">IF($B11="","",IF(Challenges!$L$12=1,IF($B11=Challenges!$D$12,Challenges!$K$12,IF(AND(H11&gt;=Challenges!$K$12,H11&lt;Challenges!$J$12),H11+1,H11)),H11))</f>
        <v>3</v>
      </c>
      <c r="J11" s="0" t="n">
        <f aca="false">IF($B11="","",IF(Challenges!$L$13=1,IF($B11=Challenges!$D$13,Challenges!$K$13,IF(AND(I11&gt;=Challenges!$K$13,I11&lt;Challenges!$J$13),I11+1,I11)),I11))</f>
        <v>3</v>
      </c>
      <c r="K11" s="0" t="n">
        <f aca="false">IF($B11="","",IF(Challenges!$L$14=1,IF($B11=Challenges!$D$14,Challenges!$K$14,IF(AND(J11&gt;=Challenges!$K$14,J11&lt;Challenges!$J$14),J11+1,J11)),J11))</f>
        <v>3</v>
      </c>
      <c r="L11" s="0" t="n">
        <f aca="false">IF($B11="","",IF(Challenges!$L$15=1,IF($B11=Challenges!$D$15,Challenges!$K$15,IF(AND(K11&gt;=Challenges!$K$15,K11&lt;Challenges!$J$15),K11+1,K11)),K11))</f>
        <v>3</v>
      </c>
      <c r="M11" s="0" t="n">
        <f aca="false">IF($B11="","",IF(Challenges!$L$16=1,IF($B11=Challenges!$D$16,Challenges!$K$16,IF(AND(L11&gt;=Challenges!$K$16,L11&lt;Challenges!$J$16),L11+1,L11)),L11))</f>
        <v>3</v>
      </c>
      <c r="N11" s="0" t="n">
        <f aca="false">IF($B11="","",IF(Challenges!$L$17=1,IF($B11=Challenges!$D$17,Challenges!$K$17,IF(AND(M11&gt;=Challenges!$K$17,M11&lt;Challenges!$J$17),M11+1,M11)),M11))</f>
        <v>3</v>
      </c>
      <c r="O11" s="0" t="n">
        <f aca="false">IF($B11="","",IF(Challenges!$L$18=1,IF($B11=Challenges!$D$18,Challenges!$K$18,IF(AND(N11&gt;=Challenges!$K$18,N11&lt;Challenges!$J$18),N11+1,N11)),N11))</f>
        <v>3</v>
      </c>
      <c r="P11" s="0" t="n">
        <f aca="false">IF($B11="","",IF(Challenges!$L$19=1,IF($B11=Challenges!$D$19,Challenges!$K$19,IF(AND(O11&gt;=Challenges!$K$19,O11&lt;Challenges!$J$19),O11+1,O11)),O11))</f>
        <v>3</v>
      </c>
      <c r="Q11" s="0" t="n">
        <f aca="false">IF($B11="","",IF(Challenges!$L$20=1,IF($B11=Challenges!$D$20,Challenges!$K$20,IF(AND(P11&gt;=Challenges!$K$20,P11&lt;Challenges!$J$20),P11+1,P11)),P11))</f>
        <v>3</v>
      </c>
      <c r="R11" s="0" t="n">
        <f aca="false">IF($B11="","",IF(Challenges!$L$21=1,IF($B11=Challenges!$D$21,Challenges!$K$21,IF(AND(Q11&gt;=Challenges!$K$21,Q11&lt;Challenges!$J$21),Q11+1,Q11)),Q11))</f>
        <v>3</v>
      </c>
      <c r="S11" s="0" t="n">
        <f aca="false">IF($B11="","",IF(Challenges!$L$22=1,IF($B11=Challenges!$D$22,Challenges!$K$22,IF(AND(R11&gt;=Challenges!$K$22,R11&lt;Challenges!$J$22),R11+1,R11)),R11))</f>
        <v>3</v>
      </c>
      <c r="T11" s="0" t="n">
        <f aca="false">IF($B11="","",IF(Challenges!$L$23=1,IF($B11=Challenges!$D$23,Challenges!$K$23,IF(AND(S11&gt;=Challenges!$K$23,S11&lt;Challenges!$J$23),S11+1,S11)),S11))</f>
        <v>3</v>
      </c>
      <c r="U11" s="0" t="n">
        <f aca="false">IF($B11="","",IF(Challenges!$L$24=1,IF($B11=Challenges!$D$24,Challenges!$K$24,IF(AND(T11&gt;=Challenges!$K$24,T11&lt;Challenges!$J$24),T11+1,T11)),T11))</f>
        <v>3</v>
      </c>
      <c r="V11" s="0" t="n">
        <f aca="false">IF($B11="","",IF(Challenges!$L$25=1,IF($B11=Challenges!$D$25,Challenges!$K$25,IF(AND(U11&gt;=Challenges!$K$25,U11&lt;Challenges!$J$25),U11+1,U11)),U11))</f>
        <v>3</v>
      </c>
      <c r="W11" s="0" t="n">
        <f aca="false">IF($B11="","",IF(Challenges!$L$26=1,IF($B11=Challenges!$D$26,Challenges!$K$26,IF(AND(V11&gt;=Challenges!$K$26,V11&lt;Challenges!$J$26),V11+1,V11)),V11))</f>
        <v>3</v>
      </c>
      <c r="X11" s="0" t="n">
        <f aca="false">IF($B11="","",IF(Challenges!$L$27=1,IF($B11=Challenges!$D$27,Challenges!$K$27,IF(AND(W11&gt;=Challenges!$K$27,W11&lt;Challenges!$J$27),W11+1,W11)),W11))</f>
        <v>3</v>
      </c>
      <c r="Y11" s="0" t="n">
        <f aca="false">IF($B11="","",IF(Challenges!$L$28=1,IF($B11=Challenges!$D$28,Challenges!$K$28,IF(AND(X11&gt;=Challenges!$K$28,X11&lt;Challenges!$J$28),X11+1,X11)),X11))</f>
        <v>3</v>
      </c>
      <c r="Z11" s="0" t="n">
        <f aca="false">IF($B11="","",IF(Challenges!$L$29=1,IF($B11=Challenges!$D$29,Challenges!$K$29,IF(AND(Y11&gt;=Challenges!$K$29,Y11&lt;Challenges!$J$29),Y11+1,Y11)),Y11))</f>
        <v>3</v>
      </c>
      <c r="AA11" s="0" t="n">
        <f aca="false">IF($B11="","",IF(Challenges!$L$30=1,IF($B11=Challenges!$D$30,Challenges!$K$30,IF(AND(Z11&gt;=Challenges!$K$30,Z11&lt;Challenges!$J$30),Z11+1,Z11)),Z11))</f>
        <v>3</v>
      </c>
      <c r="AB11" s="0" t="n">
        <f aca="false">IF($B11="","",IF(Challenges!$L$31=1,IF($B11=Challenges!$D$31,Challenges!$K$31,IF(AND(AA11&gt;=Challenges!$K$31,AA11&lt;Challenges!$J$31),AA11+1,AA11)),AA11))</f>
        <v>3</v>
      </c>
      <c r="AC11" s="0" t="n">
        <f aca="false">IF($B11="","",IF(Challenges!$L$32=1,IF($B11=Challenges!$D$32,Challenges!$K$32,IF(AND(AB11&gt;=Challenges!$K$32,AB11&lt;Challenges!$J$32),AB11+1,AB11)),AB11))</f>
        <v>3</v>
      </c>
      <c r="AD11" s="0" t="n">
        <f aca="false">IF($B11="","",IF(Challenges!$L$33=1,IF($B11=Challenges!$D$33,Challenges!$K$33,IF(AND(AC11&gt;=Challenges!$K$33,AC11&lt;Challenges!$J$33),AC11+1,AC11)),AC11))</f>
        <v>3</v>
      </c>
      <c r="AE11" s="0" t="n">
        <f aca="false">IF($B11="","",IF(Challenges!$L$34=1,IF($B11=Challenges!$D$34,Challenges!$K$34,IF(AND(AD11&gt;=Challenges!$K$34,AD11&lt;Challenges!$J$34),AD11+1,AD11)),AD11))</f>
        <v>3</v>
      </c>
      <c r="AF11" s="0" t="n">
        <f aca="false">IF($B11="","",IF(Challenges!$L$35=1,IF($B11=Challenges!$D$35,Challenges!$K$35,IF(AND(AE11&gt;=Challenges!$K$35,AE11&lt;Challenges!$J$35),AE11+1,AE11)),AE11))</f>
        <v>3</v>
      </c>
      <c r="AG11" s="0" t="n">
        <f aca="false">IF($B11="","",IF(Challenges!$L$36=1,IF($B11=Challenges!$D$36,Challenges!$K$36,IF(AND(AF11&gt;=Challenges!$K$36,AF11&lt;Challenges!$J$36),AF11+1,AF11)),AF11))</f>
        <v>3</v>
      </c>
      <c r="AH11" s="0" t="n">
        <f aca="false">IF($B11="","",IF(Challenges!$L$37=1,IF($B11=Challenges!$D$37,Challenges!$K$37,IF(AND(AG11&gt;=Challenges!$K$37,AG11&lt;Challenges!$J$37),AG11+1,AG11)),AG11))</f>
        <v>3</v>
      </c>
      <c r="AI11" s="0" t="n">
        <f aca="false">IF($B11="","",IF(Challenges!$L$38=1,IF($B11=Challenges!$D$38,Challenges!$K$38,IF(AND(AH11&gt;=Challenges!$K$38,AH11&lt;Challenges!$J$38),AH11+1,AH11)),AH11))</f>
        <v>3</v>
      </c>
      <c r="AJ11" s="0" t="n">
        <f aca="false">IF($B11="","",IF(Challenges!$L$39=1,IF($B11=Challenges!$D$39,Challenges!$K$39,IF(AND(AI11&gt;=Challenges!$K$39,AI11&lt;Challenges!$J$39),AI11+1,AI11)),AI11))</f>
        <v>3</v>
      </c>
      <c r="AK11" s="0" t="n">
        <f aca="false">IF($B11="","",IF(Challenges!$L$40=1,IF($B11=Challenges!$D$40,Challenges!$K$40,IF(AND(AJ11&gt;=Challenges!$K$40,AJ11&lt;Challenges!$J$40),AJ11+1,AJ11)),AJ11))</f>
        <v>3</v>
      </c>
      <c r="AL11" s="0" t="n">
        <f aca="false">IF($B11="","",IF(Challenges!$L$41=1,IF($B11=Challenges!$D$41,Challenges!$K$41,IF(AND(AK11&gt;=Challenges!$K$41,AK11&lt;Challenges!$J$41),AK11+1,AK11)),AK11))</f>
        <v>3</v>
      </c>
      <c r="AM11" s="0" t="n">
        <f aca="false">IF($B11="","",IF(Challenges!$L$42=1,IF($B11=Challenges!$D$42,Challenges!$K$42,IF(AND(AL11&gt;=Challenges!$K$42,AL11&lt;Challenges!$J$42),AL11+1,AL11)),AL11))</f>
        <v>3</v>
      </c>
      <c r="AN11" s="0" t="n">
        <f aca="false">IF($B11="","",IF(Challenges!$L$43=1,IF($B11=Challenges!$D$43,Challenges!$K$43,IF(AND(AM11&gt;=Challenges!$K$43,AM11&lt;Challenges!$J$43),AM11+1,AM11)),AM11))</f>
        <v>3</v>
      </c>
      <c r="AO11" s="0" t="n">
        <f aca="false">IF($B11="","",IF(Challenges!$L$44=1,IF($B11=Challenges!$D$44,Challenges!$K$44,IF(AND(AN11&gt;=Challenges!$K$44,AN11&lt;Challenges!$J$44),AN11+1,AN11)),AN11))</f>
        <v>3</v>
      </c>
      <c r="AP11" s="0" t="n">
        <f aca="false">IF($B11="","",IF(Challenges!$L$45=1,IF($B11=Challenges!$D$45,Challenges!$K$45,IF(AND(AO11&gt;=Challenges!$K$45,AO11&lt;Challenges!$J$45),AO11+1,AO11)),AO11))</f>
        <v>3</v>
      </c>
      <c r="AQ11" s="0" t="n">
        <f aca="false">IF($B11="","",IF(Challenges!$L$46=1,IF($B11=Challenges!$D$46,Challenges!$K$46,IF(AND(AP11&gt;=Challenges!$K$46,AP11&lt;Challenges!$J$46),AP11+1,AP11)),AP11))</f>
        <v>3</v>
      </c>
      <c r="AR11" s="0" t="n">
        <f aca="false">IF($B11="","",IF(Challenges!$L$47=1,IF($B11=Challenges!$D$47,Challenges!$K$47,IF(AND(AQ11&gt;=Challenges!$K$47,AQ11&lt;Challenges!$J$47),AQ11+1,AQ11)),AQ11))</f>
        <v>3</v>
      </c>
      <c r="AS11" s="0" t="n">
        <f aca="false">IF($B11="","",IF(Challenges!$L$48=1,IF($B11=Challenges!$D$48,Challenges!$K$48,IF(AND(AR11&gt;=Challenges!$K$48,AR11&lt;Challenges!$J$48),AR11+1,AR11)),AR11))</f>
        <v>3</v>
      </c>
      <c r="AT11" s="0" t="n">
        <f aca="false">IF($B11="","",IF(Challenges!$L$49=1,IF($B11=Challenges!$D$49,Challenges!$K$49,IF(AND(AS11&gt;=Challenges!$K$49,AS11&lt;Challenges!$J$49),AS11+1,AS11)),AS11))</f>
        <v>3</v>
      </c>
      <c r="AU11" s="0" t="n">
        <f aca="false">IF($B11="","",IF(Challenges!$L$50=1,IF($B11=Challenges!$D$50,Challenges!$K$50,IF(AND(AT11&gt;=Challenges!$K$50,AT11&lt;Challenges!$J$50),AT11+1,AT11)),AT11))</f>
        <v>3</v>
      </c>
      <c r="AV11" s="0" t="n">
        <f aca="false">IF($B11="","",IF(Challenges!$L$51=1,IF($B11=Challenges!$D$51,Challenges!$K$51,IF(AND(AU11&gt;=Challenges!$K$51,AU11&lt;Challenges!$J$51),AU11+1,AU11)),AU11))</f>
        <v>3</v>
      </c>
      <c r="AW11" s="0" t="n">
        <f aca="false">IF($B11="","",IF(Challenges!$L$52=1,IF($B11=Challenges!$D$52,Challenges!$K$52,IF(AND(AV11&gt;=Challenges!$K$52,AV11&lt;Challenges!$J$52),AV11+1,AV11)),AV11))</f>
        <v>3</v>
      </c>
      <c r="AX11" s="0" t="n">
        <f aca="false">IF($B11="","",IF(Challenges!$L$53=1,IF($B11=Challenges!$D$53,Challenges!$K$53,IF(AND(AW11&gt;=Challenges!$K$53,AW11&lt;Challenges!$J$53),AW11+1,AW11)),AW11))</f>
        <v>3</v>
      </c>
      <c r="AY11" s="0" t="n">
        <f aca="false">IF($B11="","",IF(Challenges!$L$54=1,IF($B11=Challenges!$D$54,Challenges!$K$54,IF(AND(AX11&gt;=Challenges!$K$54,AX11&lt;Challenges!$J$54),AX11+1,AX11)),AX11))</f>
        <v>3</v>
      </c>
      <c r="AZ11" s="0" t="n">
        <f aca="false">IF($B11="","",IF(Challenges!$L$55=1,IF($B11=Challenges!$D$55,Challenges!$K$55,IF(AND(AY11&gt;=Challenges!$K$55,AY11&lt;Challenges!$J$55),AY11+1,AY11)),AY11))</f>
        <v>3</v>
      </c>
      <c r="BA11" s="0" t="n">
        <f aca="false">IF($B11="","",IF(Challenges!$L$56=1,IF($B11=Challenges!$D$56,Challenges!$K$56,IF(AND(AZ11&gt;=Challenges!$K$56,AZ11&lt;Challenges!$J$56),AZ11+1,AZ11)),AZ11))</f>
        <v>3</v>
      </c>
      <c r="BB11" s="0" t="n">
        <f aca="false">IF($B11="","",IF(Challenges!$L$57=1,IF($B11=Challenges!$D$57,Challenges!$K$57,IF(AND(BA11&gt;=Challenges!$K$57,BA11&lt;Challenges!$J$57),BA11+1,BA11)),BA11))</f>
        <v>3</v>
      </c>
      <c r="BC11" s="0" t="n">
        <f aca="false">IF($B11="","",IF(Challenges!$L$58=1,IF($B11=Challenges!$D$58,Challenges!$K$58,IF(AND(BB11&gt;=Challenges!$K$58,BB11&lt;Challenges!$J$58),BB11+1,BB11)),BB11))</f>
        <v>3</v>
      </c>
      <c r="BD11" s="0" t="n">
        <f aca="false">IF($B11="","",IF(Challenges!$L$59=1,IF($B11=Challenges!$D$59,Challenges!$K$59,IF(AND(BC11&gt;=Challenges!$K$59,BC11&lt;Challenges!$J$59),BC11+1,BC11)),BC11))</f>
        <v>3</v>
      </c>
      <c r="BE11" s="0" t="n">
        <f aca="false">IF($B11="","",IF(Challenges!$L$60=1,IF($B11=Challenges!$D$60,Challenges!$K$60,IF(AND(BD11&gt;=Challenges!$K$60,BD11&lt;Challenges!$J$60),BD11+1,BD11)),BD11))</f>
        <v>3</v>
      </c>
      <c r="BF11" s="0" t="n">
        <f aca="false">IF($B11="","",IF(Challenges!$L$61=1,IF($B11=Challenges!$D$61,Challenges!$K$61,IF(AND(BE11&gt;=Challenges!$K$61,BE11&lt;Challenges!$J$61),BE11+1,BE11)),BE11))</f>
        <v>3</v>
      </c>
      <c r="BG11" s="0" t="n">
        <f aca="false">IF($B11="","",IF(Challenges!$L$62=1,IF($B11=Challenges!$D$62,Challenges!$K$62,IF(AND(BF11&gt;=Challenges!$K$62,BF11&lt;Challenges!$J$62),BF11+1,BF11)),BF11))</f>
        <v>3</v>
      </c>
      <c r="BH11" s="0" t="n">
        <f aca="false">IF($B11="","",IF(Challenges!$L$63=1,IF($B11=Challenges!$D$63,Challenges!$K$63,IF(AND(BG11&gt;=Challenges!$K$63,BG11&lt;Challenges!$J$63),BG11+1,BG11)),BG11))</f>
        <v>3</v>
      </c>
      <c r="BI11" s="0" t="n">
        <f aca="false">IF($B11="","",IF(Challenges!$L$64=1,IF($B11=Challenges!$D$64,Challenges!$K$64,IF(AND(BH11&gt;=Challenges!$K$64,BH11&lt;Challenges!$J$64),BH11+1,BH11)),BH11))</f>
        <v>3</v>
      </c>
      <c r="BJ11" s="0" t="n">
        <f aca="false">IF($B11="","",IF(Challenges!$L$65=1,IF($B11=Challenges!$D$65,Challenges!$K$65,IF(AND(BI11&gt;=Challenges!$K$65,BI11&lt;Challenges!$J$65),BI11+1,BI11)),BI11))</f>
        <v>3</v>
      </c>
      <c r="BK11" s="0" t="n">
        <f aca="false">IF($B11="","",IF(Challenges!$L$66=1,IF($B11=Challenges!$D$66,Challenges!$K$66,IF(AND(BJ11&gt;=Challenges!$K$66,BJ11&lt;Challenges!$J$66),BJ11+1,BJ11)),BJ11))</f>
        <v>3</v>
      </c>
      <c r="BL11" s="0" t="n">
        <f aca="false">IF($B11="","",IF(Challenges!$L$67=1,IF($B11=Challenges!$D$67,Challenges!$K$67,IF(AND(BK11&gt;=Challenges!$K$67,BK11&lt;Challenges!$J$67),BK11+1,BK11)),BK11))</f>
        <v>3</v>
      </c>
      <c r="BM11" s="0" t="n">
        <f aca="false">IF($B11="","",IF(Challenges!$L$68=1,IF($B11=Challenges!$D$68,Challenges!$K$68,IF(AND(BL11&gt;=Challenges!$K$68,BL11&lt;Challenges!$J$68),BL11+1,BL11)),BL11))</f>
        <v>3</v>
      </c>
      <c r="BN11" s="0" t="n">
        <f aca="false">IF($B11="","",IF(Challenges!$L$69=1,IF($B11=Challenges!$D$69,Challenges!$K$69,IF(AND(BM11&gt;=Challenges!$K$69,BM11&lt;Challenges!$J$69),BM11+1,BM11)),BM11))</f>
        <v>3</v>
      </c>
      <c r="BO11" s="0" t="n">
        <f aca="false">IF($B11="","",IF(Challenges!$L$70=1,IF($B11=Challenges!$D$70,Challenges!$K$70,IF(AND(BN11&gt;=Challenges!$K$70,BN11&lt;Challenges!$J$70),BN11+1,BN11)),BN11))</f>
        <v>3</v>
      </c>
      <c r="BP11" s="0" t="n">
        <f aca="false">IF($B11="","",IF(Challenges!$L$71=1,IF($B11=Challenges!$D$71,Challenges!$K$71,IF(AND(BO11&gt;=Challenges!$K$71,BO11&lt;Challenges!$J$71),BO11+1,BO11)),BO11))</f>
        <v>3</v>
      </c>
      <c r="BQ11" s="0" t="n">
        <f aca="false">IF($B11="","",IF(Challenges!$L$72=1,IF($B11=Challenges!$D$72,Challenges!$K$72,IF(AND(BP11&gt;=Challenges!$K$72,BP11&lt;Challenges!$J$72),BP11+1,BP11)),BP11))</f>
        <v>3</v>
      </c>
      <c r="BR11" s="0" t="n">
        <f aca="false">IF($B11="","",IF(Challenges!$L$73=1,IF($B11=Challenges!$D$73,Challenges!$K$73,IF(AND(BQ11&gt;=Challenges!$K$73,BQ11&lt;Challenges!$J$73),BQ11+1,BQ11)),BQ11))</f>
        <v>3</v>
      </c>
      <c r="BS11" s="0" t="n">
        <f aca="false">IF($B11="","",IF(Challenges!$L$74=1,IF($B11=Challenges!$D$74,Challenges!$K$74,IF(AND(BR11&gt;=Challenges!$K$74,BR11&lt;Challenges!$J$74),BR11+1,BR11)),BR11))</f>
        <v>3</v>
      </c>
      <c r="BT11" s="0" t="n">
        <f aca="false">IF($B11="","",IF(Challenges!$L$75=1,IF($B11=Challenges!$D$75,Challenges!$K$75,IF(AND(BS11&gt;=Challenges!$K$75,BS11&lt;Challenges!$J$75),BS11+1,BS11)),BS11))</f>
        <v>3</v>
      </c>
      <c r="BU11" s="0" t="n">
        <f aca="false">IF($B11="","",IF(Challenges!$L$76=1,IF($B11=Challenges!$D$76,Challenges!$K$76,IF(AND(BT11&gt;=Challenges!$K$76,BT11&lt;Challenges!$J$76),BT11+1,BT11)),BT11))</f>
        <v>3</v>
      </c>
      <c r="BV11" s="0" t="n">
        <f aca="false">IF($B11="","",IF(Challenges!$L$77=1,IF($B11=Challenges!$D$77,Challenges!$K$77,IF(AND(BU11&gt;=Challenges!$K$77,BU11&lt;Challenges!$J$77),BU11+1,BU11)),BU11))</f>
        <v>3</v>
      </c>
      <c r="BW11" s="0" t="n">
        <f aca="false">IF($B11="","",IF(Challenges!$L$78=1,IF($B11=Challenges!$D$78,Challenges!$K$78,IF(AND(BV11&gt;=Challenges!$K$78,BV11&lt;Challenges!$J$78),BV11+1,BV11)),BV11))</f>
        <v>3</v>
      </c>
      <c r="BX11" s="0" t="n">
        <f aca="false">IF($B11="","",IF(Challenges!$L$79=1,IF($B11=Challenges!$D$79,Challenges!$K$79,IF(AND(BW11&gt;=Challenges!$K$79,BW11&lt;Challenges!$J$79),BW11+1,BW11)),BW11))</f>
        <v>3</v>
      </c>
      <c r="BY11" s="0" t="n">
        <f aca="false">IF($B11="","",IF(Challenges!$L$80=1,IF($B11=Challenges!$D$80,Challenges!$K$80,IF(AND(BX11&gt;=Challenges!$K$80,BX11&lt;Challenges!$J$80),BX11+1,BX11)),BX11))</f>
        <v>3</v>
      </c>
      <c r="BZ11" s="0" t="n">
        <f aca="false">IF($B11="","",IF(Challenges!$L$81=1,IF($B11=Challenges!$D$81,Challenges!$K$81,IF(AND(BY11&gt;=Challenges!$K$81,BY11&lt;Challenges!$J$81),BY11+1,BY11)),BY11))</f>
        <v>3</v>
      </c>
      <c r="CA11" s="0" t="n">
        <f aca="false">IF($B11="","",IF(Challenges!$L$82=1,IF($B11=Challenges!$D$82,Challenges!$K$82,IF(AND(BZ11&gt;=Challenges!$K$82,BZ11&lt;Challenges!$J$82),BZ11+1,BZ11)),BZ11))</f>
        <v>3</v>
      </c>
      <c r="CB11" s="0" t="n">
        <f aca="false">IF($B11="","",IF(Challenges!$L$83=1,IF($B11=Challenges!$D$83,Challenges!$K$83,IF(AND(CA11&gt;=Challenges!$K$83,CA11&lt;Challenges!$J$83),CA11+1,CA11)),CA11))</f>
        <v>3</v>
      </c>
      <c r="CC11" s="0" t="n">
        <f aca="false">IF($B11="","",IF(Challenges!$L$84=1,IF($B11=Challenges!$D$84,Challenges!$K$84,IF(AND(CB11&gt;=Challenges!$K$84,CB11&lt;Challenges!$J$84),CB11+1,CB11)),CB11))</f>
        <v>3</v>
      </c>
      <c r="CD11" s="0" t="n">
        <f aca="false">IF($B11="","",IF(Challenges!$L$85=1,IF($B11=Challenges!$D$85,Challenges!$K$85,IF(AND(CC11&gt;=Challenges!$K$85,CC11&lt;Challenges!$J$85),CC11+1,CC11)),CC11))</f>
        <v>3</v>
      </c>
      <c r="CE11" s="0" t="n">
        <f aca="false">IF($B11="","",IF(Challenges!$L$86=1,IF($B11=Challenges!$D$86,Challenges!$K$86,IF(AND(CD11&gt;=Challenges!$K$86,CD11&lt;Challenges!$J$86),CD11+1,CD11)),CD11))</f>
        <v>3</v>
      </c>
      <c r="CF11" s="0" t="n">
        <f aca="false">IF($B11="","",IF(Challenges!$L$87=1,IF($B11=Challenges!$D$87,Challenges!$K$87,IF(AND(CE11&gt;=Challenges!$K$87,CE11&lt;Challenges!$J$87),CE11+1,CE11)),CE11))</f>
        <v>3</v>
      </c>
      <c r="CG11" s="0" t="n">
        <f aca="false">IF($B11="","",IF(Challenges!$L$88=1,IF($B11=Challenges!$D$88,Challenges!$K$88,IF(AND(CF11&gt;=Challenges!$K$88,CF11&lt;Challenges!$J$88),CF11+1,CF11)),CF11))</f>
        <v>3</v>
      </c>
      <c r="CH11" s="0" t="n">
        <f aca="false">IF($B11="","",IF(Challenges!$L$89=1,IF($B11=Challenges!$D$89,Challenges!$K$89,IF(AND(CG11&gt;=Challenges!$K$89,CG11&lt;Challenges!$J$89),CG11+1,CG11)),CG11))</f>
        <v>3</v>
      </c>
      <c r="CI11" s="0" t="n">
        <f aca="false">IF($B11="","",IF(Challenges!$L$90=1,IF($B11=Challenges!$D$90,Challenges!$K$90,IF(AND(CH11&gt;=Challenges!$K$90,CH11&lt;Challenges!$J$90),CH11+1,CH11)),CH11))</f>
        <v>3</v>
      </c>
      <c r="CJ11" s="0" t="n">
        <f aca="false">IF($B11="","",IF(Challenges!$L$91=1,IF($B11=Challenges!$D$91,Challenges!$K$91,IF(AND(CI11&gt;=Challenges!$K$91,CI11&lt;Challenges!$J$91),CI11+1,CI11)),CI11))</f>
        <v>3</v>
      </c>
      <c r="CK11" s="0" t="n">
        <f aca="false">IF($B11="","",IF(Challenges!$L$92=1,IF($B11=Challenges!$D$92,Challenges!$K$92,IF(AND(CJ11&gt;=Challenges!$K$92,CJ11&lt;Challenges!$J$92),CJ11+1,CJ11)),CJ11))</f>
        <v>3</v>
      </c>
      <c r="CL11" s="0" t="n">
        <f aca="false">IF($B11="","",IF(Challenges!$L$93=1,IF($B11=Challenges!$D$93,Challenges!$K$93,IF(AND(CK11&gt;=Challenges!$K$93,CK11&lt;Challenges!$J$93),CK11+1,CK11)),CK11))</f>
        <v>3</v>
      </c>
      <c r="CM11" s="0" t="n">
        <f aca="false">IF($B11="","",IF(Challenges!$L$94=1,IF($B11=Challenges!$D$94,Challenges!$K$94,IF(AND(CL11&gt;=Challenges!$K$94,CL11&lt;Challenges!$J$94),CL11+1,CL11)),CL11))</f>
        <v>3</v>
      </c>
      <c r="CN11" s="0" t="n">
        <f aca="false">IF($B11="","",IF(Challenges!$L$95=1,IF($B11=Challenges!$D$95,Challenges!$K$95,IF(AND(CM11&gt;=Challenges!$K$95,CM11&lt;Challenges!$J$95),CM11+1,CM11)),CM11))</f>
        <v>3</v>
      </c>
      <c r="CO11" s="0" t="n">
        <f aca="false">IF($B11="","",IF(Challenges!$L$96=1,IF($B11=Challenges!$D$96,Challenges!$K$96,IF(AND(CN11&gt;=Challenges!$K$96,CN11&lt;Challenges!$J$96),CN11+1,CN11)),CN11))</f>
        <v>3</v>
      </c>
      <c r="CP11" s="0" t="n">
        <f aca="false">IF($B11="","",IF(Challenges!$L$97=1,IF($B11=Challenges!$D$97,Challenges!$K$97,IF(AND(CO11&gt;=Challenges!$K$97,CO11&lt;Challenges!$J$97),CO11+1,CO11)),CO11))</f>
        <v>3</v>
      </c>
      <c r="CQ11" s="0" t="n">
        <f aca="false">IF($B11="","",IF(Challenges!$L$98=1,IF($B11=Challenges!$D$98,Challenges!$K$98,IF(AND(CP11&gt;=Challenges!$K$98,CP11&lt;Challenges!$J$98),CP11+1,CP11)),CP11))</f>
        <v>3</v>
      </c>
      <c r="CR11" s="0" t="n">
        <f aca="false">IF($B11="","",IF(Challenges!$L$99=1,IF($B11=Challenges!$D$99,Challenges!$K$99,IF(AND(CQ11&gt;=Challenges!$K$99,CQ11&lt;Challenges!$J$99),CQ11+1,CQ11)),CQ11))</f>
        <v>3</v>
      </c>
      <c r="CS11" s="0" t="n">
        <f aca="false">IF($B11="","",IF(Challenges!$L$100=1,IF($B11=Challenges!$D$100,Challenges!$K$100,IF(AND(CR11&gt;=Challenges!$K$100,CR11&lt;Challenges!$J$100),CR11+1,CR11)),CR11))</f>
        <v>3</v>
      </c>
      <c r="CT11" s="0" t="n">
        <f aca="false">IF($B11="","",IF(Challenges!$L$101=1,IF($B11=Challenges!$D$101,Challenges!$K$101,IF(AND(CS11&gt;=Challenges!$K$101,CS11&lt;Challenges!$J$101),CS11+1,CS11)),CS11))</f>
        <v>3</v>
      </c>
      <c r="CU11" s="0" t="n">
        <f aca="false">IF($B11="","",IF(Challenges!$L$102=1,IF($B11=Challenges!$D$102,Challenges!$K$102,IF(AND(CT11&gt;=Challenges!$K$102,CT11&lt;Challenges!$J$102),CT11+1,CT11)),CT11))</f>
        <v>3</v>
      </c>
      <c r="CV11" s="0" t="n">
        <f aca="false">IF($B11="","",IF(Challenges!$L$103=1,IF($B11=Challenges!$D$103,Challenges!$K$103,IF(AND(CU11&gt;=Challenges!$K$103,CU11&lt;Challenges!$J$103),CU11+1,CU11)),CU11))</f>
        <v>3</v>
      </c>
      <c r="CW11" s="0" t="n">
        <f aca="false">IF($B11="","",IF(Challenges!$L$104=1,IF($B11=Challenges!$D$104,Challenges!$K$104,IF(AND(CV11&gt;=Challenges!$K$104,CV11&lt;Challenges!$J$104),CV11+1,CV11)),CV11))</f>
        <v>3</v>
      </c>
      <c r="CX11" s="0" t="n">
        <f aca="false">IF($B11="","",IF(Challenges!$L$105=1,IF($B11=Challenges!$D$105,Challenges!$K$105,IF(AND(CW11&gt;=Challenges!$K$105,CW11&lt;Challenges!$J$105),CW11+1,CW11)),CW11))</f>
        <v>3</v>
      </c>
      <c r="CY11" s="0" t="n">
        <f aca="false">IF($B11="","",IF(Challenges!$L$106=1,IF($B11=Challenges!$D$106,Challenges!$K$106,IF(AND(CX11&gt;=Challenges!$K$106,CX11&lt;Challenges!$J$106),CX11+1,CX11)),CX11))</f>
        <v>3</v>
      </c>
    </row>
    <row r="12" customFormat="false" ht="15" hidden="false" customHeight="false" outlineLevel="0" collapsed="false">
      <c r="B12" s="0" t="str">
        <f aca="false">IF(Ladder!$C12="","",Ladder!$C12)</f>
        <v>Jonas</v>
      </c>
      <c r="C12" s="0" t="n">
        <f aca="false">IF($B12="","",ROW()-6)</f>
        <v>6</v>
      </c>
      <c r="D12" s="0" t="n">
        <f aca="false">IF($B12="","",IF(Challenges!$L$7=1,IF($B12=Challenges!$D$7,Challenges!$K$7,IF(AND(C12&gt;=Challenges!$K$7,C12&lt;Challenges!$J$7),C12+1,C12)),C12))</f>
        <v>6</v>
      </c>
      <c r="E12" s="0" t="n">
        <f aca="false">IF($B12="","",IF(Challenges!$L$8=1,IF($B12=Challenges!$D$8,Challenges!$K$8,IF(AND(D12&gt;=Challenges!$K$8,D12&lt;Challenges!$J$8),D12+1,D12)),D12))</f>
        <v>6</v>
      </c>
      <c r="F12" s="0" t="n">
        <f aca="false">IF($B12="","",IF(Challenges!$L$9=1,IF($B12=Challenges!$D$9,Challenges!$K$9,IF(AND(E12&gt;=Challenges!$K$9,E12&lt;Challenges!$J$9),E12+1,E12)),E12))</f>
        <v>7</v>
      </c>
      <c r="G12" s="0" t="n">
        <f aca="false">IF($B12="","",IF(Challenges!$L$10=1,IF($B12=Challenges!$D$10,Challenges!$K$10,IF(AND(F12&gt;=Challenges!$K$10,F12&lt;Challenges!$J$10),F12+1,F12)),F12))</f>
        <v>7</v>
      </c>
      <c r="H12" s="0" t="n">
        <f aca="false">IF($B12="","",IF(Challenges!$L$11=1,IF($B12=Challenges!$D$11,Challenges!$K$11,IF(AND(G12&gt;=Challenges!$K$11,G12&lt;Challenges!$J$11),G12+1,G12)),G12))</f>
        <v>7</v>
      </c>
      <c r="I12" s="0" t="n">
        <f aca="false">IF($B12="","",IF(Challenges!$L$12=1,IF($B12=Challenges!$D$12,Challenges!$K$12,IF(AND(H12&gt;=Challenges!$K$12,H12&lt;Challenges!$J$12),H12+1,H12)),H12))</f>
        <v>7</v>
      </c>
      <c r="J12" s="0" t="n">
        <f aca="false">IF($B12="","",IF(Challenges!$L$13=1,IF($B12=Challenges!$D$13,Challenges!$K$13,IF(AND(I12&gt;=Challenges!$K$13,I12&lt;Challenges!$J$13),I12+1,I12)),I12))</f>
        <v>7</v>
      </c>
      <c r="K12" s="0" t="n">
        <f aca="false">IF($B12="","",IF(Challenges!$L$14=1,IF($B12=Challenges!$D$14,Challenges!$K$14,IF(AND(J12&gt;=Challenges!$K$14,J12&lt;Challenges!$J$14),J12+1,J12)),J12))</f>
        <v>7</v>
      </c>
      <c r="L12" s="0" t="n">
        <f aca="false">IF($B12="","",IF(Challenges!$L$15=1,IF($B12=Challenges!$D$15,Challenges!$K$15,IF(AND(K12&gt;=Challenges!$K$15,K12&lt;Challenges!$J$15),K12+1,K12)),K12))</f>
        <v>7</v>
      </c>
      <c r="M12" s="0" t="n">
        <f aca="false">IF($B12="","",IF(Challenges!$L$16=1,IF($B12=Challenges!$D$16,Challenges!$K$16,IF(AND(L12&gt;=Challenges!$K$16,L12&lt;Challenges!$J$16),L12+1,L12)),L12))</f>
        <v>7</v>
      </c>
      <c r="N12" s="0" t="n">
        <f aca="false">IF($B12="","",IF(Challenges!$L$17=1,IF($B12=Challenges!$D$17,Challenges!$K$17,IF(AND(M12&gt;=Challenges!$K$17,M12&lt;Challenges!$J$17),M12+1,M12)),M12))</f>
        <v>7</v>
      </c>
      <c r="O12" s="0" t="n">
        <f aca="false">IF($B12="","",IF(Challenges!$L$18=1,IF($B12=Challenges!$D$18,Challenges!$K$18,IF(AND(N12&gt;=Challenges!$K$18,N12&lt;Challenges!$J$18),N12+1,N12)),N12))</f>
        <v>7</v>
      </c>
      <c r="P12" s="0" t="n">
        <f aca="false">IF($B12="","",IF(Challenges!$L$19=1,IF($B12=Challenges!$D$19,Challenges!$K$19,IF(AND(O12&gt;=Challenges!$K$19,O12&lt;Challenges!$J$19),O12+1,O12)),O12))</f>
        <v>7</v>
      </c>
      <c r="Q12" s="0" t="n">
        <f aca="false">IF($B12="","",IF(Challenges!$L$20=1,IF($B12=Challenges!$D$20,Challenges!$K$20,IF(AND(P12&gt;=Challenges!$K$20,P12&lt;Challenges!$J$20),P12+1,P12)),P12))</f>
        <v>7</v>
      </c>
      <c r="R12" s="0" t="n">
        <f aca="false">IF($B12="","",IF(Challenges!$L$21=1,IF($B12=Challenges!$D$21,Challenges!$K$21,IF(AND(Q12&gt;=Challenges!$K$21,Q12&lt;Challenges!$J$21),Q12+1,Q12)),Q12))</f>
        <v>7</v>
      </c>
      <c r="S12" s="0" t="n">
        <f aca="false">IF($B12="","",IF(Challenges!$L$22=1,IF($B12=Challenges!$D$22,Challenges!$K$22,IF(AND(R12&gt;=Challenges!$K$22,R12&lt;Challenges!$J$22),R12+1,R12)),R12))</f>
        <v>7</v>
      </c>
      <c r="T12" s="0" t="n">
        <f aca="false">IF($B12="","",IF(Challenges!$L$23=1,IF($B12=Challenges!$D$23,Challenges!$K$23,IF(AND(S12&gt;=Challenges!$K$23,S12&lt;Challenges!$J$23),S12+1,S12)),S12))</f>
        <v>7</v>
      </c>
      <c r="U12" s="0" t="n">
        <f aca="false">IF($B12="","",IF(Challenges!$L$24=1,IF($B12=Challenges!$D$24,Challenges!$K$24,IF(AND(T12&gt;=Challenges!$K$24,T12&lt;Challenges!$J$24),T12+1,T12)),T12))</f>
        <v>7</v>
      </c>
      <c r="V12" s="0" t="n">
        <f aca="false">IF($B12="","",IF(Challenges!$L$25=1,IF($B12=Challenges!$D$25,Challenges!$K$25,IF(AND(U12&gt;=Challenges!$K$25,U12&lt;Challenges!$J$25),U12+1,U12)),U12))</f>
        <v>7</v>
      </c>
      <c r="W12" s="0" t="n">
        <f aca="false">IF($B12="","",IF(Challenges!$L$26=1,IF($B12=Challenges!$D$26,Challenges!$K$26,IF(AND(V12&gt;=Challenges!$K$26,V12&lt;Challenges!$J$26),V12+1,V12)),V12))</f>
        <v>7</v>
      </c>
      <c r="X12" s="0" t="n">
        <f aca="false">IF($B12="","",IF(Challenges!$L$27=1,IF($B12=Challenges!$D$27,Challenges!$K$27,IF(AND(W12&gt;=Challenges!$K$27,W12&lt;Challenges!$J$27),W12+1,W12)),W12))</f>
        <v>7</v>
      </c>
      <c r="Y12" s="0" t="n">
        <f aca="false">IF($B12="","",IF(Challenges!$L$28=1,IF($B12=Challenges!$D$28,Challenges!$K$28,IF(AND(X12&gt;=Challenges!$K$28,X12&lt;Challenges!$J$28),X12+1,X12)),X12))</f>
        <v>7</v>
      </c>
      <c r="Z12" s="0" t="n">
        <f aca="false">IF($B12="","",IF(Challenges!$L$29=1,IF($B12=Challenges!$D$29,Challenges!$K$29,IF(AND(Y12&gt;=Challenges!$K$29,Y12&lt;Challenges!$J$29),Y12+1,Y12)),Y12))</f>
        <v>7</v>
      </c>
      <c r="AA12" s="0" t="n">
        <f aca="false">IF($B12="","",IF(Challenges!$L$30=1,IF($B12=Challenges!$D$30,Challenges!$K$30,IF(AND(Z12&gt;=Challenges!$K$30,Z12&lt;Challenges!$J$30),Z12+1,Z12)),Z12))</f>
        <v>7</v>
      </c>
      <c r="AB12" s="0" t="n">
        <f aca="false">IF($B12="","",IF(Challenges!$L$31=1,IF($B12=Challenges!$D$31,Challenges!$K$31,IF(AND(AA12&gt;=Challenges!$K$31,AA12&lt;Challenges!$J$31),AA12+1,AA12)),AA12))</f>
        <v>7</v>
      </c>
      <c r="AC12" s="0" t="n">
        <f aca="false">IF($B12="","",IF(Challenges!$L$32=1,IF($B12=Challenges!$D$32,Challenges!$K$32,IF(AND(AB12&gt;=Challenges!$K$32,AB12&lt;Challenges!$J$32),AB12+1,AB12)),AB12))</f>
        <v>7</v>
      </c>
      <c r="AD12" s="0" t="n">
        <f aca="false">IF($B12="","",IF(Challenges!$L$33=1,IF($B12=Challenges!$D$33,Challenges!$K$33,IF(AND(AC12&gt;=Challenges!$K$33,AC12&lt;Challenges!$J$33),AC12+1,AC12)),AC12))</f>
        <v>7</v>
      </c>
      <c r="AE12" s="0" t="n">
        <f aca="false">IF($B12="","",IF(Challenges!$L$34=1,IF($B12=Challenges!$D$34,Challenges!$K$34,IF(AND(AD12&gt;=Challenges!$K$34,AD12&lt;Challenges!$J$34),AD12+1,AD12)),AD12))</f>
        <v>7</v>
      </c>
      <c r="AF12" s="0" t="n">
        <f aca="false">IF($B12="","",IF(Challenges!$L$35=1,IF($B12=Challenges!$D$35,Challenges!$K$35,IF(AND(AE12&gt;=Challenges!$K$35,AE12&lt;Challenges!$J$35),AE12+1,AE12)),AE12))</f>
        <v>7</v>
      </c>
      <c r="AG12" s="0" t="n">
        <f aca="false">IF($B12="","",IF(Challenges!$L$36=1,IF($B12=Challenges!$D$36,Challenges!$K$36,IF(AND(AF12&gt;=Challenges!$K$36,AF12&lt;Challenges!$J$36),AF12+1,AF12)),AF12))</f>
        <v>7</v>
      </c>
      <c r="AH12" s="0" t="n">
        <f aca="false">IF($B12="","",IF(Challenges!$L$37=1,IF($B12=Challenges!$D$37,Challenges!$K$37,IF(AND(AG12&gt;=Challenges!$K$37,AG12&lt;Challenges!$J$37),AG12+1,AG12)),AG12))</f>
        <v>7</v>
      </c>
      <c r="AI12" s="0" t="n">
        <f aca="false">IF($B12="","",IF(Challenges!$L$38=1,IF($B12=Challenges!$D$38,Challenges!$K$38,IF(AND(AH12&gt;=Challenges!$K$38,AH12&lt;Challenges!$J$38),AH12+1,AH12)),AH12))</f>
        <v>7</v>
      </c>
      <c r="AJ12" s="0" t="n">
        <f aca="false">IF($B12="","",IF(Challenges!$L$39=1,IF($B12=Challenges!$D$39,Challenges!$K$39,IF(AND(AI12&gt;=Challenges!$K$39,AI12&lt;Challenges!$J$39),AI12+1,AI12)),AI12))</f>
        <v>7</v>
      </c>
      <c r="AK12" s="0" t="n">
        <f aca="false">IF($B12="","",IF(Challenges!$L$40=1,IF($B12=Challenges!$D$40,Challenges!$K$40,IF(AND(AJ12&gt;=Challenges!$K$40,AJ12&lt;Challenges!$J$40),AJ12+1,AJ12)),AJ12))</f>
        <v>7</v>
      </c>
      <c r="AL12" s="0" t="n">
        <f aca="false">IF($B12="","",IF(Challenges!$L$41=1,IF($B12=Challenges!$D$41,Challenges!$K$41,IF(AND(AK12&gt;=Challenges!$K$41,AK12&lt;Challenges!$J$41),AK12+1,AK12)),AK12))</f>
        <v>7</v>
      </c>
      <c r="AM12" s="0" t="n">
        <f aca="false">IF($B12="","",IF(Challenges!$L$42=1,IF($B12=Challenges!$D$42,Challenges!$K$42,IF(AND(AL12&gt;=Challenges!$K$42,AL12&lt;Challenges!$J$42),AL12+1,AL12)),AL12))</f>
        <v>7</v>
      </c>
      <c r="AN12" s="0" t="n">
        <f aca="false">IF($B12="","",IF(Challenges!$L$43=1,IF($B12=Challenges!$D$43,Challenges!$K$43,IF(AND(AM12&gt;=Challenges!$K$43,AM12&lt;Challenges!$J$43),AM12+1,AM12)),AM12))</f>
        <v>7</v>
      </c>
      <c r="AO12" s="0" t="n">
        <f aca="false">IF($B12="","",IF(Challenges!$L$44=1,IF($B12=Challenges!$D$44,Challenges!$K$44,IF(AND(AN12&gt;=Challenges!$K$44,AN12&lt;Challenges!$J$44),AN12+1,AN12)),AN12))</f>
        <v>7</v>
      </c>
      <c r="AP12" s="0" t="n">
        <f aca="false">IF($B12="","",IF(Challenges!$L$45=1,IF($B12=Challenges!$D$45,Challenges!$K$45,IF(AND(AO12&gt;=Challenges!$K$45,AO12&lt;Challenges!$J$45),AO12+1,AO12)),AO12))</f>
        <v>7</v>
      </c>
      <c r="AQ12" s="0" t="n">
        <f aca="false">IF($B12="","",IF(Challenges!$L$46=1,IF($B12=Challenges!$D$46,Challenges!$K$46,IF(AND(AP12&gt;=Challenges!$K$46,AP12&lt;Challenges!$J$46),AP12+1,AP12)),AP12))</f>
        <v>7</v>
      </c>
      <c r="AR12" s="0" t="n">
        <f aca="false">IF($B12="","",IF(Challenges!$L$47=1,IF($B12=Challenges!$D$47,Challenges!$K$47,IF(AND(AQ12&gt;=Challenges!$K$47,AQ12&lt;Challenges!$J$47),AQ12+1,AQ12)),AQ12))</f>
        <v>7</v>
      </c>
      <c r="AS12" s="0" t="n">
        <f aca="false">IF($B12="","",IF(Challenges!$L$48=1,IF($B12=Challenges!$D$48,Challenges!$K$48,IF(AND(AR12&gt;=Challenges!$K$48,AR12&lt;Challenges!$J$48),AR12+1,AR12)),AR12))</f>
        <v>7</v>
      </c>
      <c r="AT12" s="0" t="n">
        <f aca="false">IF($B12="","",IF(Challenges!$L$49=1,IF($B12=Challenges!$D$49,Challenges!$K$49,IF(AND(AS12&gt;=Challenges!$K$49,AS12&lt;Challenges!$J$49),AS12+1,AS12)),AS12))</f>
        <v>7</v>
      </c>
      <c r="AU12" s="0" t="n">
        <f aca="false">IF($B12="","",IF(Challenges!$L$50=1,IF($B12=Challenges!$D$50,Challenges!$K$50,IF(AND(AT12&gt;=Challenges!$K$50,AT12&lt;Challenges!$J$50),AT12+1,AT12)),AT12))</f>
        <v>7</v>
      </c>
      <c r="AV12" s="0" t="n">
        <f aca="false">IF($B12="","",IF(Challenges!$L$51=1,IF($B12=Challenges!$D$51,Challenges!$K$51,IF(AND(AU12&gt;=Challenges!$K$51,AU12&lt;Challenges!$J$51),AU12+1,AU12)),AU12))</f>
        <v>7</v>
      </c>
      <c r="AW12" s="0" t="n">
        <f aca="false">IF($B12="","",IF(Challenges!$L$52=1,IF($B12=Challenges!$D$52,Challenges!$K$52,IF(AND(AV12&gt;=Challenges!$K$52,AV12&lt;Challenges!$J$52),AV12+1,AV12)),AV12))</f>
        <v>7</v>
      </c>
      <c r="AX12" s="0" t="n">
        <f aca="false">IF($B12="","",IF(Challenges!$L$53=1,IF($B12=Challenges!$D$53,Challenges!$K$53,IF(AND(AW12&gt;=Challenges!$K$53,AW12&lt;Challenges!$J$53),AW12+1,AW12)),AW12))</f>
        <v>7</v>
      </c>
      <c r="AY12" s="0" t="n">
        <f aca="false">IF($B12="","",IF(Challenges!$L$54=1,IF($B12=Challenges!$D$54,Challenges!$K$54,IF(AND(AX12&gt;=Challenges!$K$54,AX12&lt;Challenges!$J$54),AX12+1,AX12)),AX12))</f>
        <v>7</v>
      </c>
      <c r="AZ12" s="0" t="n">
        <f aca="false">IF($B12="","",IF(Challenges!$L$55=1,IF($B12=Challenges!$D$55,Challenges!$K$55,IF(AND(AY12&gt;=Challenges!$K$55,AY12&lt;Challenges!$J$55),AY12+1,AY12)),AY12))</f>
        <v>7</v>
      </c>
      <c r="BA12" s="0" t="n">
        <f aca="false">IF($B12="","",IF(Challenges!$L$56=1,IF($B12=Challenges!$D$56,Challenges!$K$56,IF(AND(AZ12&gt;=Challenges!$K$56,AZ12&lt;Challenges!$J$56),AZ12+1,AZ12)),AZ12))</f>
        <v>7</v>
      </c>
      <c r="BB12" s="0" t="n">
        <f aca="false">IF($B12="","",IF(Challenges!$L$57=1,IF($B12=Challenges!$D$57,Challenges!$K$57,IF(AND(BA12&gt;=Challenges!$K$57,BA12&lt;Challenges!$J$57),BA12+1,BA12)),BA12))</f>
        <v>7</v>
      </c>
      <c r="BC12" s="0" t="n">
        <f aca="false">IF($B12="","",IF(Challenges!$L$58=1,IF($B12=Challenges!$D$58,Challenges!$K$58,IF(AND(BB12&gt;=Challenges!$K$58,BB12&lt;Challenges!$J$58),BB12+1,BB12)),BB12))</f>
        <v>7</v>
      </c>
      <c r="BD12" s="0" t="n">
        <f aca="false">IF($B12="","",IF(Challenges!$L$59=1,IF($B12=Challenges!$D$59,Challenges!$K$59,IF(AND(BC12&gt;=Challenges!$K$59,BC12&lt;Challenges!$J$59),BC12+1,BC12)),BC12))</f>
        <v>7</v>
      </c>
      <c r="BE12" s="0" t="n">
        <f aca="false">IF($B12="","",IF(Challenges!$L$60=1,IF($B12=Challenges!$D$60,Challenges!$K$60,IF(AND(BD12&gt;=Challenges!$K$60,BD12&lt;Challenges!$J$60),BD12+1,BD12)),BD12))</f>
        <v>7</v>
      </c>
      <c r="BF12" s="0" t="n">
        <f aca="false">IF($B12="","",IF(Challenges!$L$61=1,IF($B12=Challenges!$D$61,Challenges!$K$61,IF(AND(BE12&gt;=Challenges!$K$61,BE12&lt;Challenges!$J$61),BE12+1,BE12)),BE12))</f>
        <v>7</v>
      </c>
      <c r="BG12" s="0" t="n">
        <f aca="false">IF($B12="","",IF(Challenges!$L$62=1,IF($B12=Challenges!$D$62,Challenges!$K$62,IF(AND(BF12&gt;=Challenges!$K$62,BF12&lt;Challenges!$J$62),BF12+1,BF12)),BF12))</f>
        <v>7</v>
      </c>
      <c r="BH12" s="0" t="n">
        <f aca="false">IF($B12="","",IF(Challenges!$L$63=1,IF($B12=Challenges!$D$63,Challenges!$K$63,IF(AND(BG12&gt;=Challenges!$K$63,BG12&lt;Challenges!$J$63),BG12+1,BG12)),BG12))</f>
        <v>7</v>
      </c>
      <c r="BI12" s="0" t="n">
        <f aca="false">IF($B12="","",IF(Challenges!$L$64=1,IF($B12=Challenges!$D$64,Challenges!$K$64,IF(AND(BH12&gt;=Challenges!$K$64,BH12&lt;Challenges!$J$64),BH12+1,BH12)),BH12))</f>
        <v>7</v>
      </c>
      <c r="BJ12" s="0" t="n">
        <f aca="false">IF($B12="","",IF(Challenges!$L$65=1,IF($B12=Challenges!$D$65,Challenges!$K$65,IF(AND(BI12&gt;=Challenges!$K$65,BI12&lt;Challenges!$J$65),BI12+1,BI12)),BI12))</f>
        <v>7</v>
      </c>
      <c r="BK12" s="0" t="n">
        <f aca="false">IF($B12="","",IF(Challenges!$L$66=1,IF($B12=Challenges!$D$66,Challenges!$K$66,IF(AND(BJ12&gt;=Challenges!$K$66,BJ12&lt;Challenges!$J$66),BJ12+1,BJ12)),BJ12))</f>
        <v>7</v>
      </c>
      <c r="BL12" s="0" t="n">
        <f aca="false">IF($B12="","",IF(Challenges!$L$67=1,IF($B12=Challenges!$D$67,Challenges!$K$67,IF(AND(BK12&gt;=Challenges!$K$67,BK12&lt;Challenges!$J$67),BK12+1,BK12)),BK12))</f>
        <v>7</v>
      </c>
      <c r="BM12" s="0" t="n">
        <f aca="false">IF($B12="","",IF(Challenges!$L$68=1,IF($B12=Challenges!$D$68,Challenges!$K$68,IF(AND(BL12&gt;=Challenges!$K$68,BL12&lt;Challenges!$J$68),BL12+1,BL12)),BL12))</f>
        <v>7</v>
      </c>
      <c r="BN12" s="0" t="n">
        <f aca="false">IF($B12="","",IF(Challenges!$L$69=1,IF($B12=Challenges!$D$69,Challenges!$K$69,IF(AND(BM12&gt;=Challenges!$K$69,BM12&lt;Challenges!$J$69),BM12+1,BM12)),BM12))</f>
        <v>7</v>
      </c>
      <c r="BO12" s="0" t="n">
        <f aca="false">IF($B12="","",IF(Challenges!$L$70=1,IF($B12=Challenges!$D$70,Challenges!$K$70,IF(AND(BN12&gt;=Challenges!$K$70,BN12&lt;Challenges!$J$70),BN12+1,BN12)),BN12))</f>
        <v>7</v>
      </c>
      <c r="BP12" s="0" t="n">
        <f aca="false">IF($B12="","",IF(Challenges!$L$71=1,IF($B12=Challenges!$D$71,Challenges!$K$71,IF(AND(BO12&gt;=Challenges!$K$71,BO12&lt;Challenges!$J$71),BO12+1,BO12)),BO12))</f>
        <v>7</v>
      </c>
      <c r="BQ12" s="0" t="n">
        <f aca="false">IF($B12="","",IF(Challenges!$L$72=1,IF($B12=Challenges!$D$72,Challenges!$K$72,IF(AND(BP12&gt;=Challenges!$K$72,BP12&lt;Challenges!$J$72),BP12+1,BP12)),BP12))</f>
        <v>7</v>
      </c>
      <c r="BR12" s="0" t="n">
        <f aca="false">IF($B12="","",IF(Challenges!$L$73=1,IF($B12=Challenges!$D$73,Challenges!$K$73,IF(AND(BQ12&gt;=Challenges!$K$73,BQ12&lt;Challenges!$J$73),BQ12+1,BQ12)),BQ12))</f>
        <v>7</v>
      </c>
      <c r="BS12" s="0" t="n">
        <f aca="false">IF($B12="","",IF(Challenges!$L$74=1,IF($B12=Challenges!$D$74,Challenges!$K$74,IF(AND(BR12&gt;=Challenges!$K$74,BR12&lt;Challenges!$J$74),BR12+1,BR12)),BR12))</f>
        <v>7</v>
      </c>
      <c r="BT12" s="0" t="n">
        <f aca="false">IF($B12="","",IF(Challenges!$L$75=1,IF($B12=Challenges!$D$75,Challenges!$K$75,IF(AND(BS12&gt;=Challenges!$K$75,BS12&lt;Challenges!$J$75),BS12+1,BS12)),BS12))</f>
        <v>7</v>
      </c>
      <c r="BU12" s="0" t="n">
        <f aca="false">IF($B12="","",IF(Challenges!$L$76=1,IF($B12=Challenges!$D$76,Challenges!$K$76,IF(AND(BT12&gt;=Challenges!$K$76,BT12&lt;Challenges!$J$76),BT12+1,BT12)),BT12))</f>
        <v>7</v>
      </c>
      <c r="BV12" s="0" t="n">
        <f aca="false">IF($B12="","",IF(Challenges!$L$77=1,IF($B12=Challenges!$D$77,Challenges!$K$77,IF(AND(BU12&gt;=Challenges!$K$77,BU12&lt;Challenges!$J$77),BU12+1,BU12)),BU12))</f>
        <v>7</v>
      </c>
      <c r="BW12" s="0" t="n">
        <f aca="false">IF($B12="","",IF(Challenges!$L$78=1,IF($B12=Challenges!$D$78,Challenges!$K$78,IF(AND(BV12&gt;=Challenges!$K$78,BV12&lt;Challenges!$J$78),BV12+1,BV12)),BV12))</f>
        <v>7</v>
      </c>
      <c r="BX12" s="0" t="n">
        <f aca="false">IF($B12="","",IF(Challenges!$L$79=1,IF($B12=Challenges!$D$79,Challenges!$K$79,IF(AND(BW12&gt;=Challenges!$K$79,BW12&lt;Challenges!$J$79),BW12+1,BW12)),BW12))</f>
        <v>7</v>
      </c>
      <c r="BY12" s="0" t="n">
        <f aca="false">IF($B12="","",IF(Challenges!$L$80=1,IF($B12=Challenges!$D$80,Challenges!$K$80,IF(AND(BX12&gt;=Challenges!$K$80,BX12&lt;Challenges!$J$80),BX12+1,BX12)),BX12))</f>
        <v>7</v>
      </c>
      <c r="BZ12" s="0" t="n">
        <f aca="false">IF($B12="","",IF(Challenges!$L$81=1,IF($B12=Challenges!$D$81,Challenges!$K$81,IF(AND(BY12&gt;=Challenges!$K$81,BY12&lt;Challenges!$J$81),BY12+1,BY12)),BY12))</f>
        <v>7</v>
      </c>
      <c r="CA12" s="0" t="n">
        <f aca="false">IF($B12="","",IF(Challenges!$L$82=1,IF($B12=Challenges!$D$82,Challenges!$K$82,IF(AND(BZ12&gt;=Challenges!$K$82,BZ12&lt;Challenges!$J$82),BZ12+1,BZ12)),BZ12))</f>
        <v>7</v>
      </c>
      <c r="CB12" s="0" t="n">
        <f aca="false">IF($B12="","",IF(Challenges!$L$83=1,IF($B12=Challenges!$D$83,Challenges!$K$83,IF(AND(CA12&gt;=Challenges!$K$83,CA12&lt;Challenges!$J$83),CA12+1,CA12)),CA12))</f>
        <v>7</v>
      </c>
      <c r="CC12" s="0" t="n">
        <f aca="false">IF($B12="","",IF(Challenges!$L$84=1,IF($B12=Challenges!$D$84,Challenges!$K$84,IF(AND(CB12&gt;=Challenges!$K$84,CB12&lt;Challenges!$J$84),CB12+1,CB12)),CB12))</f>
        <v>7</v>
      </c>
      <c r="CD12" s="0" t="n">
        <f aca="false">IF($B12="","",IF(Challenges!$L$85=1,IF($B12=Challenges!$D$85,Challenges!$K$85,IF(AND(CC12&gt;=Challenges!$K$85,CC12&lt;Challenges!$J$85),CC12+1,CC12)),CC12))</f>
        <v>7</v>
      </c>
      <c r="CE12" s="0" t="n">
        <f aca="false">IF($B12="","",IF(Challenges!$L$86=1,IF($B12=Challenges!$D$86,Challenges!$K$86,IF(AND(CD12&gt;=Challenges!$K$86,CD12&lt;Challenges!$J$86),CD12+1,CD12)),CD12))</f>
        <v>7</v>
      </c>
      <c r="CF12" s="0" t="n">
        <f aca="false">IF($B12="","",IF(Challenges!$L$87=1,IF($B12=Challenges!$D$87,Challenges!$K$87,IF(AND(CE12&gt;=Challenges!$K$87,CE12&lt;Challenges!$J$87),CE12+1,CE12)),CE12))</f>
        <v>7</v>
      </c>
      <c r="CG12" s="0" t="n">
        <f aca="false">IF($B12="","",IF(Challenges!$L$88=1,IF($B12=Challenges!$D$88,Challenges!$K$88,IF(AND(CF12&gt;=Challenges!$K$88,CF12&lt;Challenges!$J$88),CF12+1,CF12)),CF12))</f>
        <v>7</v>
      </c>
      <c r="CH12" s="0" t="n">
        <f aca="false">IF($B12="","",IF(Challenges!$L$89=1,IF($B12=Challenges!$D$89,Challenges!$K$89,IF(AND(CG12&gt;=Challenges!$K$89,CG12&lt;Challenges!$J$89),CG12+1,CG12)),CG12))</f>
        <v>7</v>
      </c>
      <c r="CI12" s="0" t="n">
        <f aca="false">IF($B12="","",IF(Challenges!$L$90=1,IF($B12=Challenges!$D$90,Challenges!$K$90,IF(AND(CH12&gt;=Challenges!$K$90,CH12&lt;Challenges!$J$90),CH12+1,CH12)),CH12))</f>
        <v>7</v>
      </c>
      <c r="CJ12" s="0" t="n">
        <f aca="false">IF($B12="","",IF(Challenges!$L$91=1,IF($B12=Challenges!$D$91,Challenges!$K$91,IF(AND(CI12&gt;=Challenges!$K$91,CI12&lt;Challenges!$J$91),CI12+1,CI12)),CI12))</f>
        <v>7</v>
      </c>
      <c r="CK12" s="0" t="n">
        <f aca="false">IF($B12="","",IF(Challenges!$L$92=1,IF($B12=Challenges!$D$92,Challenges!$K$92,IF(AND(CJ12&gt;=Challenges!$K$92,CJ12&lt;Challenges!$J$92),CJ12+1,CJ12)),CJ12))</f>
        <v>7</v>
      </c>
      <c r="CL12" s="0" t="n">
        <f aca="false">IF($B12="","",IF(Challenges!$L$93=1,IF($B12=Challenges!$D$93,Challenges!$K$93,IF(AND(CK12&gt;=Challenges!$K$93,CK12&lt;Challenges!$J$93),CK12+1,CK12)),CK12))</f>
        <v>7</v>
      </c>
      <c r="CM12" s="0" t="n">
        <f aca="false">IF($B12="","",IF(Challenges!$L$94=1,IF($B12=Challenges!$D$94,Challenges!$K$94,IF(AND(CL12&gt;=Challenges!$K$94,CL12&lt;Challenges!$J$94),CL12+1,CL12)),CL12))</f>
        <v>7</v>
      </c>
      <c r="CN12" s="0" t="n">
        <f aca="false">IF($B12="","",IF(Challenges!$L$95=1,IF($B12=Challenges!$D$95,Challenges!$K$95,IF(AND(CM12&gt;=Challenges!$K$95,CM12&lt;Challenges!$J$95),CM12+1,CM12)),CM12))</f>
        <v>7</v>
      </c>
      <c r="CO12" s="0" t="n">
        <f aca="false">IF($B12="","",IF(Challenges!$L$96=1,IF($B12=Challenges!$D$96,Challenges!$K$96,IF(AND(CN12&gt;=Challenges!$K$96,CN12&lt;Challenges!$J$96),CN12+1,CN12)),CN12))</f>
        <v>7</v>
      </c>
      <c r="CP12" s="0" t="n">
        <f aca="false">IF($B12="","",IF(Challenges!$L$97=1,IF($B12=Challenges!$D$97,Challenges!$K$97,IF(AND(CO12&gt;=Challenges!$K$97,CO12&lt;Challenges!$J$97),CO12+1,CO12)),CO12))</f>
        <v>7</v>
      </c>
      <c r="CQ12" s="0" t="n">
        <f aca="false">IF($B12="","",IF(Challenges!$L$98=1,IF($B12=Challenges!$D$98,Challenges!$K$98,IF(AND(CP12&gt;=Challenges!$K$98,CP12&lt;Challenges!$J$98),CP12+1,CP12)),CP12))</f>
        <v>7</v>
      </c>
      <c r="CR12" s="0" t="n">
        <f aca="false">IF($B12="","",IF(Challenges!$L$99=1,IF($B12=Challenges!$D$99,Challenges!$K$99,IF(AND(CQ12&gt;=Challenges!$K$99,CQ12&lt;Challenges!$J$99),CQ12+1,CQ12)),CQ12))</f>
        <v>7</v>
      </c>
      <c r="CS12" s="0" t="n">
        <f aca="false">IF($B12="","",IF(Challenges!$L$100=1,IF($B12=Challenges!$D$100,Challenges!$K$100,IF(AND(CR12&gt;=Challenges!$K$100,CR12&lt;Challenges!$J$100),CR12+1,CR12)),CR12))</f>
        <v>7</v>
      </c>
      <c r="CT12" s="0" t="n">
        <f aca="false">IF($B12="","",IF(Challenges!$L$101=1,IF($B12=Challenges!$D$101,Challenges!$K$101,IF(AND(CS12&gt;=Challenges!$K$101,CS12&lt;Challenges!$J$101),CS12+1,CS12)),CS12))</f>
        <v>7</v>
      </c>
      <c r="CU12" s="0" t="n">
        <f aca="false">IF($B12="","",IF(Challenges!$L$102=1,IF($B12=Challenges!$D$102,Challenges!$K$102,IF(AND(CT12&gt;=Challenges!$K$102,CT12&lt;Challenges!$J$102),CT12+1,CT12)),CT12))</f>
        <v>7</v>
      </c>
      <c r="CV12" s="0" t="n">
        <f aca="false">IF($B12="","",IF(Challenges!$L$103=1,IF($B12=Challenges!$D$103,Challenges!$K$103,IF(AND(CU12&gt;=Challenges!$K$103,CU12&lt;Challenges!$J$103),CU12+1,CU12)),CU12))</f>
        <v>7</v>
      </c>
      <c r="CW12" s="0" t="n">
        <f aca="false">IF($B12="","",IF(Challenges!$L$104=1,IF($B12=Challenges!$D$104,Challenges!$K$104,IF(AND(CV12&gt;=Challenges!$K$104,CV12&lt;Challenges!$J$104),CV12+1,CV12)),CV12))</f>
        <v>7</v>
      </c>
      <c r="CX12" s="0" t="n">
        <f aca="false">IF($B12="","",IF(Challenges!$L$105=1,IF($B12=Challenges!$D$105,Challenges!$K$105,IF(AND(CW12&gt;=Challenges!$K$105,CW12&lt;Challenges!$J$105),CW12+1,CW12)),CW12))</f>
        <v>7</v>
      </c>
      <c r="CY12" s="0" t="n">
        <f aca="false">IF($B12="","",IF(Challenges!$L$106=1,IF($B12=Challenges!$D$106,Challenges!$K$106,IF(AND(CX12&gt;=Challenges!$K$106,CX12&lt;Challenges!$J$106),CX12+1,CX12)),CX12))</f>
        <v>7</v>
      </c>
    </row>
    <row r="13" customFormat="false" ht="15" hidden="false" customHeight="false" outlineLevel="0" collapsed="false">
      <c r="B13" s="0" t="str">
        <f aca="false">IF(Ladder!$C13="","",Ladder!$C13)</f>
        <v>Leah</v>
      </c>
      <c r="C13" s="0" t="n">
        <f aca="false">IF($B13="","",ROW()-6)</f>
        <v>7</v>
      </c>
      <c r="D13" s="0" t="n">
        <f aca="false">IF($B13="","",IF(Challenges!$L$7=1,IF($B13=Challenges!$D$7,Challenges!$K$7,IF(AND(C13&gt;=Challenges!$K$7,C13&lt;Challenges!$J$7),C13+1,C13)),C13))</f>
        <v>7</v>
      </c>
      <c r="E13" s="0" t="n">
        <f aca="false">IF($B13="","",IF(Challenges!$L$8=1,IF($B13=Challenges!$D$8,Challenges!$K$8,IF(AND(D13&gt;=Challenges!$K$8,D13&lt;Challenges!$J$8),D13+1,D13)),D13))</f>
        <v>7</v>
      </c>
      <c r="F13" s="0" t="n">
        <f aca="false">IF($B13="","",IF(Challenges!$L$9=1,IF($B13=Challenges!$D$9,Challenges!$K$9,IF(AND(E13&gt;=Challenges!$K$9,E13&lt;Challenges!$J$9),E13+1,E13)),E13))</f>
        <v>8</v>
      </c>
      <c r="G13" s="0" t="n">
        <f aca="false">IF($B13="","",IF(Challenges!$L$10=1,IF($B13=Challenges!$D$10,Challenges!$K$10,IF(AND(F13&gt;=Challenges!$K$10,F13&lt;Challenges!$J$10),F13+1,F13)),F13))</f>
        <v>8</v>
      </c>
      <c r="H13" s="0" t="n">
        <f aca="false">IF($B13="","",IF(Challenges!$L$11=1,IF($B13=Challenges!$D$11,Challenges!$K$11,IF(AND(G13&gt;=Challenges!$K$11,G13&lt;Challenges!$J$11),G13+1,G13)),G13))</f>
        <v>8</v>
      </c>
      <c r="I13" s="0" t="n">
        <f aca="false">IF($B13="","",IF(Challenges!$L$12=1,IF($B13=Challenges!$D$12,Challenges!$K$12,IF(AND(H13&gt;=Challenges!$K$12,H13&lt;Challenges!$J$12),H13+1,H13)),H13))</f>
        <v>8</v>
      </c>
      <c r="J13" s="0" t="n">
        <f aca="false">IF($B13="","",IF(Challenges!$L$13=1,IF($B13=Challenges!$D$13,Challenges!$K$13,IF(AND(I13&gt;=Challenges!$K$13,I13&lt;Challenges!$J$13),I13+1,I13)),I13))</f>
        <v>8</v>
      </c>
      <c r="K13" s="0" t="n">
        <f aca="false">IF($B13="","",IF(Challenges!$L$14=1,IF($B13=Challenges!$D$14,Challenges!$K$14,IF(AND(J13&gt;=Challenges!$K$14,J13&lt;Challenges!$J$14),J13+1,J13)),J13))</f>
        <v>8</v>
      </c>
      <c r="L13" s="0" t="n">
        <f aca="false">IF($B13="","",IF(Challenges!$L$15=1,IF($B13=Challenges!$D$15,Challenges!$K$15,IF(AND(K13&gt;=Challenges!$K$15,K13&lt;Challenges!$J$15),K13+1,K13)),K13))</f>
        <v>8</v>
      </c>
      <c r="M13" s="0" t="n">
        <f aca="false">IF($B13="","",IF(Challenges!$L$16=1,IF($B13=Challenges!$D$16,Challenges!$K$16,IF(AND(L13&gt;=Challenges!$K$16,L13&lt;Challenges!$J$16),L13+1,L13)),L13))</f>
        <v>8</v>
      </c>
      <c r="N13" s="0" t="n">
        <f aca="false">IF($B13="","",IF(Challenges!$L$17=1,IF($B13=Challenges!$D$17,Challenges!$K$17,IF(AND(M13&gt;=Challenges!$K$17,M13&lt;Challenges!$J$17),M13+1,M13)),M13))</f>
        <v>8</v>
      </c>
      <c r="O13" s="0" t="n">
        <f aca="false">IF($B13="","",IF(Challenges!$L$18=1,IF($B13=Challenges!$D$18,Challenges!$K$18,IF(AND(N13&gt;=Challenges!$K$18,N13&lt;Challenges!$J$18),N13+1,N13)),N13))</f>
        <v>8</v>
      </c>
      <c r="P13" s="0" t="n">
        <f aca="false">IF($B13="","",IF(Challenges!$L$19=1,IF($B13=Challenges!$D$19,Challenges!$K$19,IF(AND(O13&gt;=Challenges!$K$19,O13&lt;Challenges!$J$19),O13+1,O13)),O13))</f>
        <v>8</v>
      </c>
      <c r="Q13" s="0" t="n">
        <f aca="false">IF($B13="","",IF(Challenges!$L$20=1,IF($B13=Challenges!$D$20,Challenges!$K$20,IF(AND(P13&gt;=Challenges!$K$20,P13&lt;Challenges!$J$20),P13+1,P13)),P13))</f>
        <v>8</v>
      </c>
      <c r="R13" s="0" t="n">
        <f aca="false">IF($B13="","",IF(Challenges!$L$21=1,IF($B13=Challenges!$D$21,Challenges!$K$21,IF(AND(Q13&gt;=Challenges!$K$21,Q13&lt;Challenges!$J$21),Q13+1,Q13)),Q13))</f>
        <v>8</v>
      </c>
      <c r="S13" s="0" t="n">
        <f aca="false">IF($B13="","",IF(Challenges!$L$22=1,IF($B13=Challenges!$D$22,Challenges!$K$22,IF(AND(R13&gt;=Challenges!$K$22,R13&lt;Challenges!$J$22),R13+1,R13)),R13))</f>
        <v>8</v>
      </c>
      <c r="T13" s="0" t="n">
        <f aca="false">IF($B13="","",IF(Challenges!$L$23=1,IF($B13=Challenges!$D$23,Challenges!$K$23,IF(AND(S13&gt;=Challenges!$K$23,S13&lt;Challenges!$J$23),S13+1,S13)),S13))</f>
        <v>8</v>
      </c>
      <c r="U13" s="0" t="n">
        <f aca="false">IF($B13="","",IF(Challenges!$L$24=1,IF($B13=Challenges!$D$24,Challenges!$K$24,IF(AND(T13&gt;=Challenges!$K$24,T13&lt;Challenges!$J$24),T13+1,T13)),T13))</f>
        <v>8</v>
      </c>
      <c r="V13" s="0" t="n">
        <f aca="false">IF($B13="","",IF(Challenges!$L$25=1,IF($B13=Challenges!$D$25,Challenges!$K$25,IF(AND(U13&gt;=Challenges!$K$25,U13&lt;Challenges!$J$25),U13+1,U13)),U13))</f>
        <v>8</v>
      </c>
      <c r="W13" s="0" t="n">
        <f aca="false">IF($B13="","",IF(Challenges!$L$26=1,IF($B13=Challenges!$D$26,Challenges!$K$26,IF(AND(V13&gt;=Challenges!$K$26,V13&lt;Challenges!$J$26),V13+1,V13)),V13))</f>
        <v>8</v>
      </c>
      <c r="X13" s="0" t="n">
        <f aca="false">IF($B13="","",IF(Challenges!$L$27=1,IF($B13=Challenges!$D$27,Challenges!$K$27,IF(AND(W13&gt;=Challenges!$K$27,W13&lt;Challenges!$J$27),W13+1,W13)),W13))</f>
        <v>8</v>
      </c>
      <c r="Y13" s="0" t="n">
        <f aca="false">IF($B13="","",IF(Challenges!$L$28=1,IF($B13=Challenges!$D$28,Challenges!$K$28,IF(AND(X13&gt;=Challenges!$K$28,X13&lt;Challenges!$J$28),X13+1,X13)),X13))</f>
        <v>8</v>
      </c>
      <c r="Z13" s="0" t="n">
        <f aca="false">IF($B13="","",IF(Challenges!$L$29=1,IF($B13=Challenges!$D$29,Challenges!$K$29,IF(AND(Y13&gt;=Challenges!$K$29,Y13&lt;Challenges!$J$29),Y13+1,Y13)),Y13))</f>
        <v>8</v>
      </c>
      <c r="AA13" s="0" t="n">
        <f aca="false">IF($B13="","",IF(Challenges!$L$30=1,IF($B13=Challenges!$D$30,Challenges!$K$30,IF(AND(Z13&gt;=Challenges!$K$30,Z13&lt;Challenges!$J$30),Z13+1,Z13)),Z13))</f>
        <v>8</v>
      </c>
      <c r="AB13" s="0" t="n">
        <f aca="false">IF($B13="","",IF(Challenges!$L$31=1,IF($B13=Challenges!$D$31,Challenges!$K$31,IF(AND(AA13&gt;=Challenges!$K$31,AA13&lt;Challenges!$J$31),AA13+1,AA13)),AA13))</f>
        <v>8</v>
      </c>
      <c r="AC13" s="0" t="n">
        <f aca="false">IF($B13="","",IF(Challenges!$L$32=1,IF($B13=Challenges!$D$32,Challenges!$K$32,IF(AND(AB13&gt;=Challenges!$K$32,AB13&lt;Challenges!$J$32),AB13+1,AB13)),AB13))</f>
        <v>8</v>
      </c>
      <c r="AD13" s="0" t="n">
        <f aca="false">IF($B13="","",IF(Challenges!$L$33=1,IF($B13=Challenges!$D$33,Challenges!$K$33,IF(AND(AC13&gt;=Challenges!$K$33,AC13&lt;Challenges!$J$33),AC13+1,AC13)),AC13))</f>
        <v>8</v>
      </c>
      <c r="AE13" s="0" t="n">
        <f aca="false">IF($B13="","",IF(Challenges!$L$34=1,IF($B13=Challenges!$D$34,Challenges!$K$34,IF(AND(AD13&gt;=Challenges!$K$34,AD13&lt;Challenges!$J$34),AD13+1,AD13)),AD13))</f>
        <v>8</v>
      </c>
      <c r="AF13" s="0" t="n">
        <f aca="false">IF($B13="","",IF(Challenges!$L$35=1,IF($B13=Challenges!$D$35,Challenges!$K$35,IF(AND(AE13&gt;=Challenges!$K$35,AE13&lt;Challenges!$J$35),AE13+1,AE13)),AE13))</f>
        <v>8</v>
      </c>
      <c r="AG13" s="0" t="n">
        <f aca="false">IF($B13="","",IF(Challenges!$L$36=1,IF($B13=Challenges!$D$36,Challenges!$K$36,IF(AND(AF13&gt;=Challenges!$K$36,AF13&lt;Challenges!$J$36),AF13+1,AF13)),AF13))</f>
        <v>8</v>
      </c>
      <c r="AH13" s="0" t="n">
        <f aca="false">IF($B13="","",IF(Challenges!$L$37=1,IF($B13=Challenges!$D$37,Challenges!$K$37,IF(AND(AG13&gt;=Challenges!$K$37,AG13&lt;Challenges!$J$37),AG13+1,AG13)),AG13))</f>
        <v>8</v>
      </c>
      <c r="AI13" s="0" t="n">
        <f aca="false">IF($B13="","",IF(Challenges!$L$38=1,IF($B13=Challenges!$D$38,Challenges!$K$38,IF(AND(AH13&gt;=Challenges!$K$38,AH13&lt;Challenges!$J$38),AH13+1,AH13)),AH13))</f>
        <v>8</v>
      </c>
      <c r="AJ13" s="0" t="n">
        <f aca="false">IF($B13="","",IF(Challenges!$L$39=1,IF($B13=Challenges!$D$39,Challenges!$K$39,IF(AND(AI13&gt;=Challenges!$K$39,AI13&lt;Challenges!$J$39),AI13+1,AI13)),AI13))</f>
        <v>8</v>
      </c>
      <c r="AK13" s="0" t="n">
        <f aca="false">IF($B13="","",IF(Challenges!$L$40=1,IF($B13=Challenges!$D$40,Challenges!$K$40,IF(AND(AJ13&gt;=Challenges!$K$40,AJ13&lt;Challenges!$J$40),AJ13+1,AJ13)),AJ13))</f>
        <v>8</v>
      </c>
      <c r="AL13" s="0" t="n">
        <f aca="false">IF($B13="","",IF(Challenges!$L$41=1,IF($B13=Challenges!$D$41,Challenges!$K$41,IF(AND(AK13&gt;=Challenges!$K$41,AK13&lt;Challenges!$J$41),AK13+1,AK13)),AK13))</f>
        <v>8</v>
      </c>
      <c r="AM13" s="0" t="n">
        <f aca="false">IF($B13="","",IF(Challenges!$L$42=1,IF($B13=Challenges!$D$42,Challenges!$K$42,IF(AND(AL13&gt;=Challenges!$K$42,AL13&lt;Challenges!$J$42),AL13+1,AL13)),AL13))</f>
        <v>8</v>
      </c>
      <c r="AN13" s="0" t="n">
        <f aca="false">IF($B13="","",IF(Challenges!$L$43=1,IF($B13=Challenges!$D$43,Challenges!$K$43,IF(AND(AM13&gt;=Challenges!$K$43,AM13&lt;Challenges!$J$43),AM13+1,AM13)),AM13))</f>
        <v>8</v>
      </c>
      <c r="AO13" s="0" t="n">
        <f aca="false">IF($B13="","",IF(Challenges!$L$44=1,IF($B13=Challenges!$D$44,Challenges!$K$44,IF(AND(AN13&gt;=Challenges!$K$44,AN13&lt;Challenges!$J$44),AN13+1,AN13)),AN13))</f>
        <v>8</v>
      </c>
      <c r="AP13" s="0" t="n">
        <f aca="false">IF($B13="","",IF(Challenges!$L$45=1,IF($B13=Challenges!$D$45,Challenges!$K$45,IF(AND(AO13&gt;=Challenges!$K$45,AO13&lt;Challenges!$J$45),AO13+1,AO13)),AO13))</f>
        <v>8</v>
      </c>
      <c r="AQ13" s="0" t="n">
        <f aca="false">IF($B13="","",IF(Challenges!$L$46=1,IF($B13=Challenges!$D$46,Challenges!$K$46,IF(AND(AP13&gt;=Challenges!$K$46,AP13&lt;Challenges!$J$46),AP13+1,AP13)),AP13))</f>
        <v>8</v>
      </c>
      <c r="AR13" s="0" t="n">
        <f aca="false">IF($B13="","",IF(Challenges!$L$47=1,IF($B13=Challenges!$D$47,Challenges!$K$47,IF(AND(AQ13&gt;=Challenges!$K$47,AQ13&lt;Challenges!$J$47),AQ13+1,AQ13)),AQ13))</f>
        <v>8</v>
      </c>
      <c r="AS13" s="0" t="n">
        <f aca="false">IF($B13="","",IF(Challenges!$L$48=1,IF($B13=Challenges!$D$48,Challenges!$K$48,IF(AND(AR13&gt;=Challenges!$K$48,AR13&lt;Challenges!$J$48),AR13+1,AR13)),AR13))</f>
        <v>8</v>
      </c>
      <c r="AT13" s="0" t="n">
        <f aca="false">IF($B13="","",IF(Challenges!$L$49=1,IF($B13=Challenges!$D$49,Challenges!$K$49,IF(AND(AS13&gt;=Challenges!$K$49,AS13&lt;Challenges!$J$49),AS13+1,AS13)),AS13))</f>
        <v>8</v>
      </c>
      <c r="AU13" s="0" t="n">
        <f aca="false">IF($B13="","",IF(Challenges!$L$50=1,IF($B13=Challenges!$D$50,Challenges!$K$50,IF(AND(AT13&gt;=Challenges!$K$50,AT13&lt;Challenges!$J$50),AT13+1,AT13)),AT13))</f>
        <v>8</v>
      </c>
      <c r="AV13" s="0" t="n">
        <f aca="false">IF($B13="","",IF(Challenges!$L$51=1,IF($B13=Challenges!$D$51,Challenges!$K$51,IF(AND(AU13&gt;=Challenges!$K$51,AU13&lt;Challenges!$J$51),AU13+1,AU13)),AU13))</f>
        <v>8</v>
      </c>
      <c r="AW13" s="0" t="n">
        <f aca="false">IF($B13="","",IF(Challenges!$L$52=1,IF($B13=Challenges!$D$52,Challenges!$K$52,IF(AND(AV13&gt;=Challenges!$K$52,AV13&lt;Challenges!$J$52),AV13+1,AV13)),AV13))</f>
        <v>8</v>
      </c>
      <c r="AX13" s="0" t="n">
        <f aca="false">IF($B13="","",IF(Challenges!$L$53=1,IF($B13=Challenges!$D$53,Challenges!$K$53,IF(AND(AW13&gt;=Challenges!$K$53,AW13&lt;Challenges!$J$53),AW13+1,AW13)),AW13))</f>
        <v>8</v>
      </c>
      <c r="AY13" s="0" t="n">
        <f aca="false">IF($B13="","",IF(Challenges!$L$54=1,IF($B13=Challenges!$D$54,Challenges!$K$54,IF(AND(AX13&gt;=Challenges!$K$54,AX13&lt;Challenges!$J$54),AX13+1,AX13)),AX13))</f>
        <v>8</v>
      </c>
      <c r="AZ13" s="0" t="n">
        <f aca="false">IF($B13="","",IF(Challenges!$L$55=1,IF($B13=Challenges!$D$55,Challenges!$K$55,IF(AND(AY13&gt;=Challenges!$K$55,AY13&lt;Challenges!$J$55),AY13+1,AY13)),AY13))</f>
        <v>8</v>
      </c>
      <c r="BA13" s="0" t="n">
        <f aca="false">IF($B13="","",IF(Challenges!$L$56=1,IF($B13=Challenges!$D$56,Challenges!$K$56,IF(AND(AZ13&gt;=Challenges!$K$56,AZ13&lt;Challenges!$J$56),AZ13+1,AZ13)),AZ13))</f>
        <v>8</v>
      </c>
      <c r="BB13" s="0" t="n">
        <f aca="false">IF($B13="","",IF(Challenges!$L$57=1,IF($B13=Challenges!$D$57,Challenges!$K$57,IF(AND(BA13&gt;=Challenges!$K$57,BA13&lt;Challenges!$J$57),BA13+1,BA13)),BA13))</f>
        <v>8</v>
      </c>
      <c r="BC13" s="0" t="n">
        <f aca="false">IF($B13="","",IF(Challenges!$L$58=1,IF($B13=Challenges!$D$58,Challenges!$K$58,IF(AND(BB13&gt;=Challenges!$K$58,BB13&lt;Challenges!$J$58),BB13+1,BB13)),BB13))</f>
        <v>8</v>
      </c>
      <c r="BD13" s="0" t="n">
        <f aca="false">IF($B13="","",IF(Challenges!$L$59=1,IF($B13=Challenges!$D$59,Challenges!$K$59,IF(AND(BC13&gt;=Challenges!$K$59,BC13&lt;Challenges!$J$59),BC13+1,BC13)),BC13))</f>
        <v>8</v>
      </c>
      <c r="BE13" s="0" t="n">
        <f aca="false">IF($B13="","",IF(Challenges!$L$60=1,IF($B13=Challenges!$D$60,Challenges!$K$60,IF(AND(BD13&gt;=Challenges!$K$60,BD13&lt;Challenges!$J$60),BD13+1,BD13)),BD13))</f>
        <v>8</v>
      </c>
      <c r="BF13" s="0" t="n">
        <f aca="false">IF($B13="","",IF(Challenges!$L$61=1,IF($B13=Challenges!$D$61,Challenges!$K$61,IF(AND(BE13&gt;=Challenges!$K$61,BE13&lt;Challenges!$J$61),BE13+1,BE13)),BE13))</f>
        <v>8</v>
      </c>
      <c r="BG13" s="0" t="n">
        <f aca="false">IF($B13="","",IF(Challenges!$L$62=1,IF($B13=Challenges!$D$62,Challenges!$K$62,IF(AND(BF13&gt;=Challenges!$K$62,BF13&lt;Challenges!$J$62),BF13+1,BF13)),BF13))</f>
        <v>8</v>
      </c>
      <c r="BH13" s="0" t="n">
        <f aca="false">IF($B13="","",IF(Challenges!$L$63=1,IF($B13=Challenges!$D$63,Challenges!$K$63,IF(AND(BG13&gt;=Challenges!$K$63,BG13&lt;Challenges!$J$63),BG13+1,BG13)),BG13))</f>
        <v>8</v>
      </c>
      <c r="BI13" s="0" t="n">
        <f aca="false">IF($B13="","",IF(Challenges!$L$64=1,IF($B13=Challenges!$D$64,Challenges!$K$64,IF(AND(BH13&gt;=Challenges!$K$64,BH13&lt;Challenges!$J$64),BH13+1,BH13)),BH13))</f>
        <v>8</v>
      </c>
      <c r="BJ13" s="0" t="n">
        <f aca="false">IF($B13="","",IF(Challenges!$L$65=1,IF($B13=Challenges!$D$65,Challenges!$K$65,IF(AND(BI13&gt;=Challenges!$K$65,BI13&lt;Challenges!$J$65),BI13+1,BI13)),BI13))</f>
        <v>8</v>
      </c>
      <c r="BK13" s="0" t="n">
        <f aca="false">IF($B13="","",IF(Challenges!$L$66=1,IF($B13=Challenges!$D$66,Challenges!$K$66,IF(AND(BJ13&gt;=Challenges!$K$66,BJ13&lt;Challenges!$J$66),BJ13+1,BJ13)),BJ13))</f>
        <v>8</v>
      </c>
      <c r="BL13" s="0" t="n">
        <f aca="false">IF($B13="","",IF(Challenges!$L$67=1,IF($B13=Challenges!$D$67,Challenges!$K$67,IF(AND(BK13&gt;=Challenges!$K$67,BK13&lt;Challenges!$J$67),BK13+1,BK13)),BK13))</f>
        <v>8</v>
      </c>
      <c r="BM13" s="0" t="n">
        <f aca="false">IF($B13="","",IF(Challenges!$L$68=1,IF($B13=Challenges!$D$68,Challenges!$K$68,IF(AND(BL13&gt;=Challenges!$K$68,BL13&lt;Challenges!$J$68),BL13+1,BL13)),BL13))</f>
        <v>8</v>
      </c>
      <c r="BN13" s="0" t="n">
        <f aca="false">IF($B13="","",IF(Challenges!$L$69=1,IF($B13=Challenges!$D$69,Challenges!$K$69,IF(AND(BM13&gt;=Challenges!$K$69,BM13&lt;Challenges!$J$69),BM13+1,BM13)),BM13))</f>
        <v>8</v>
      </c>
      <c r="BO13" s="0" t="n">
        <f aca="false">IF($B13="","",IF(Challenges!$L$70=1,IF($B13=Challenges!$D$70,Challenges!$K$70,IF(AND(BN13&gt;=Challenges!$K$70,BN13&lt;Challenges!$J$70),BN13+1,BN13)),BN13))</f>
        <v>8</v>
      </c>
      <c r="BP13" s="0" t="n">
        <f aca="false">IF($B13="","",IF(Challenges!$L$71=1,IF($B13=Challenges!$D$71,Challenges!$K$71,IF(AND(BO13&gt;=Challenges!$K$71,BO13&lt;Challenges!$J$71),BO13+1,BO13)),BO13))</f>
        <v>8</v>
      </c>
      <c r="BQ13" s="0" t="n">
        <f aca="false">IF($B13="","",IF(Challenges!$L$72=1,IF($B13=Challenges!$D$72,Challenges!$K$72,IF(AND(BP13&gt;=Challenges!$K$72,BP13&lt;Challenges!$J$72),BP13+1,BP13)),BP13))</f>
        <v>8</v>
      </c>
      <c r="BR13" s="0" t="n">
        <f aca="false">IF($B13="","",IF(Challenges!$L$73=1,IF($B13=Challenges!$D$73,Challenges!$K$73,IF(AND(BQ13&gt;=Challenges!$K$73,BQ13&lt;Challenges!$J$73),BQ13+1,BQ13)),BQ13))</f>
        <v>8</v>
      </c>
      <c r="BS13" s="0" t="n">
        <f aca="false">IF($B13="","",IF(Challenges!$L$74=1,IF($B13=Challenges!$D$74,Challenges!$K$74,IF(AND(BR13&gt;=Challenges!$K$74,BR13&lt;Challenges!$J$74),BR13+1,BR13)),BR13))</f>
        <v>8</v>
      </c>
      <c r="BT13" s="0" t="n">
        <f aca="false">IF($B13="","",IF(Challenges!$L$75=1,IF($B13=Challenges!$D$75,Challenges!$K$75,IF(AND(BS13&gt;=Challenges!$K$75,BS13&lt;Challenges!$J$75),BS13+1,BS13)),BS13))</f>
        <v>8</v>
      </c>
      <c r="BU13" s="0" t="n">
        <f aca="false">IF($B13="","",IF(Challenges!$L$76=1,IF($B13=Challenges!$D$76,Challenges!$K$76,IF(AND(BT13&gt;=Challenges!$K$76,BT13&lt;Challenges!$J$76),BT13+1,BT13)),BT13))</f>
        <v>8</v>
      </c>
      <c r="BV13" s="0" t="n">
        <f aca="false">IF($B13="","",IF(Challenges!$L$77=1,IF($B13=Challenges!$D$77,Challenges!$K$77,IF(AND(BU13&gt;=Challenges!$K$77,BU13&lt;Challenges!$J$77),BU13+1,BU13)),BU13))</f>
        <v>8</v>
      </c>
      <c r="BW13" s="0" t="n">
        <f aca="false">IF($B13="","",IF(Challenges!$L$78=1,IF($B13=Challenges!$D$78,Challenges!$K$78,IF(AND(BV13&gt;=Challenges!$K$78,BV13&lt;Challenges!$J$78),BV13+1,BV13)),BV13))</f>
        <v>8</v>
      </c>
      <c r="BX13" s="0" t="n">
        <f aca="false">IF($B13="","",IF(Challenges!$L$79=1,IF($B13=Challenges!$D$79,Challenges!$K$79,IF(AND(BW13&gt;=Challenges!$K$79,BW13&lt;Challenges!$J$79),BW13+1,BW13)),BW13))</f>
        <v>8</v>
      </c>
      <c r="BY13" s="0" t="n">
        <f aca="false">IF($B13="","",IF(Challenges!$L$80=1,IF($B13=Challenges!$D$80,Challenges!$K$80,IF(AND(BX13&gt;=Challenges!$K$80,BX13&lt;Challenges!$J$80),BX13+1,BX13)),BX13))</f>
        <v>8</v>
      </c>
      <c r="BZ13" s="0" t="n">
        <f aca="false">IF($B13="","",IF(Challenges!$L$81=1,IF($B13=Challenges!$D$81,Challenges!$K$81,IF(AND(BY13&gt;=Challenges!$K$81,BY13&lt;Challenges!$J$81),BY13+1,BY13)),BY13))</f>
        <v>8</v>
      </c>
      <c r="CA13" s="0" t="n">
        <f aca="false">IF($B13="","",IF(Challenges!$L$82=1,IF($B13=Challenges!$D$82,Challenges!$K$82,IF(AND(BZ13&gt;=Challenges!$K$82,BZ13&lt;Challenges!$J$82),BZ13+1,BZ13)),BZ13))</f>
        <v>8</v>
      </c>
      <c r="CB13" s="0" t="n">
        <f aca="false">IF($B13="","",IF(Challenges!$L$83=1,IF($B13=Challenges!$D$83,Challenges!$K$83,IF(AND(CA13&gt;=Challenges!$K$83,CA13&lt;Challenges!$J$83),CA13+1,CA13)),CA13))</f>
        <v>8</v>
      </c>
      <c r="CC13" s="0" t="n">
        <f aca="false">IF($B13="","",IF(Challenges!$L$84=1,IF($B13=Challenges!$D$84,Challenges!$K$84,IF(AND(CB13&gt;=Challenges!$K$84,CB13&lt;Challenges!$J$84),CB13+1,CB13)),CB13))</f>
        <v>8</v>
      </c>
      <c r="CD13" s="0" t="n">
        <f aca="false">IF($B13="","",IF(Challenges!$L$85=1,IF($B13=Challenges!$D$85,Challenges!$K$85,IF(AND(CC13&gt;=Challenges!$K$85,CC13&lt;Challenges!$J$85),CC13+1,CC13)),CC13))</f>
        <v>8</v>
      </c>
      <c r="CE13" s="0" t="n">
        <f aca="false">IF($B13="","",IF(Challenges!$L$86=1,IF($B13=Challenges!$D$86,Challenges!$K$86,IF(AND(CD13&gt;=Challenges!$K$86,CD13&lt;Challenges!$J$86),CD13+1,CD13)),CD13))</f>
        <v>8</v>
      </c>
      <c r="CF13" s="0" t="n">
        <f aca="false">IF($B13="","",IF(Challenges!$L$87=1,IF($B13=Challenges!$D$87,Challenges!$K$87,IF(AND(CE13&gt;=Challenges!$K$87,CE13&lt;Challenges!$J$87),CE13+1,CE13)),CE13))</f>
        <v>8</v>
      </c>
      <c r="CG13" s="0" t="n">
        <f aca="false">IF($B13="","",IF(Challenges!$L$88=1,IF($B13=Challenges!$D$88,Challenges!$K$88,IF(AND(CF13&gt;=Challenges!$K$88,CF13&lt;Challenges!$J$88),CF13+1,CF13)),CF13))</f>
        <v>8</v>
      </c>
      <c r="CH13" s="0" t="n">
        <f aca="false">IF($B13="","",IF(Challenges!$L$89=1,IF($B13=Challenges!$D$89,Challenges!$K$89,IF(AND(CG13&gt;=Challenges!$K$89,CG13&lt;Challenges!$J$89),CG13+1,CG13)),CG13))</f>
        <v>8</v>
      </c>
      <c r="CI13" s="0" t="n">
        <f aca="false">IF($B13="","",IF(Challenges!$L$90=1,IF($B13=Challenges!$D$90,Challenges!$K$90,IF(AND(CH13&gt;=Challenges!$K$90,CH13&lt;Challenges!$J$90),CH13+1,CH13)),CH13))</f>
        <v>8</v>
      </c>
      <c r="CJ13" s="0" t="n">
        <f aca="false">IF($B13="","",IF(Challenges!$L$91=1,IF($B13=Challenges!$D$91,Challenges!$K$91,IF(AND(CI13&gt;=Challenges!$K$91,CI13&lt;Challenges!$J$91),CI13+1,CI13)),CI13))</f>
        <v>8</v>
      </c>
      <c r="CK13" s="0" t="n">
        <f aca="false">IF($B13="","",IF(Challenges!$L$92=1,IF($B13=Challenges!$D$92,Challenges!$K$92,IF(AND(CJ13&gt;=Challenges!$K$92,CJ13&lt;Challenges!$J$92),CJ13+1,CJ13)),CJ13))</f>
        <v>8</v>
      </c>
      <c r="CL13" s="0" t="n">
        <f aca="false">IF($B13="","",IF(Challenges!$L$93=1,IF($B13=Challenges!$D$93,Challenges!$K$93,IF(AND(CK13&gt;=Challenges!$K$93,CK13&lt;Challenges!$J$93),CK13+1,CK13)),CK13))</f>
        <v>8</v>
      </c>
      <c r="CM13" s="0" t="n">
        <f aca="false">IF($B13="","",IF(Challenges!$L$94=1,IF($B13=Challenges!$D$94,Challenges!$K$94,IF(AND(CL13&gt;=Challenges!$K$94,CL13&lt;Challenges!$J$94),CL13+1,CL13)),CL13))</f>
        <v>8</v>
      </c>
      <c r="CN13" s="0" t="n">
        <f aca="false">IF($B13="","",IF(Challenges!$L$95=1,IF($B13=Challenges!$D$95,Challenges!$K$95,IF(AND(CM13&gt;=Challenges!$K$95,CM13&lt;Challenges!$J$95),CM13+1,CM13)),CM13))</f>
        <v>8</v>
      </c>
      <c r="CO13" s="0" t="n">
        <f aca="false">IF($B13="","",IF(Challenges!$L$96=1,IF($B13=Challenges!$D$96,Challenges!$K$96,IF(AND(CN13&gt;=Challenges!$K$96,CN13&lt;Challenges!$J$96),CN13+1,CN13)),CN13))</f>
        <v>8</v>
      </c>
      <c r="CP13" s="0" t="n">
        <f aca="false">IF($B13="","",IF(Challenges!$L$97=1,IF($B13=Challenges!$D$97,Challenges!$K$97,IF(AND(CO13&gt;=Challenges!$K$97,CO13&lt;Challenges!$J$97),CO13+1,CO13)),CO13))</f>
        <v>8</v>
      </c>
      <c r="CQ13" s="0" t="n">
        <f aca="false">IF($B13="","",IF(Challenges!$L$98=1,IF($B13=Challenges!$D$98,Challenges!$K$98,IF(AND(CP13&gt;=Challenges!$K$98,CP13&lt;Challenges!$J$98),CP13+1,CP13)),CP13))</f>
        <v>8</v>
      </c>
      <c r="CR13" s="0" t="n">
        <f aca="false">IF($B13="","",IF(Challenges!$L$99=1,IF($B13=Challenges!$D$99,Challenges!$K$99,IF(AND(CQ13&gt;=Challenges!$K$99,CQ13&lt;Challenges!$J$99),CQ13+1,CQ13)),CQ13))</f>
        <v>8</v>
      </c>
      <c r="CS13" s="0" t="n">
        <f aca="false">IF($B13="","",IF(Challenges!$L$100=1,IF($B13=Challenges!$D$100,Challenges!$K$100,IF(AND(CR13&gt;=Challenges!$K$100,CR13&lt;Challenges!$J$100),CR13+1,CR13)),CR13))</f>
        <v>8</v>
      </c>
      <c r="CT13" s="0" t="n">
        <f aca="false">IF($B13="","",IF(Challenges!$L$101=1,IF($B13=Challenges!$D$101,Challenges!$K$101,IF(AND(CS13&gt;=Challenges!$K$101,CS13&lt;Challenges!$J$101),CS13+1,CS13)),CS13))</f>
        <v>8</v>
      </c>
      <c r="CU13" s="0" t="n">
        <f aca="false">IF($B13="","",IF(Challenges!$L$102=1,IF($B13=Challenges!$D$102,Challenges!$K$102,IF(AND(CT13&gt;=Challenges!$K$102,CT13&lt;Challenges!$J$102),CT13+1,CT13)),CT13))</f>
        <v>8</v>
      </c>
      <c r="CV13" s="0" t="n">
        <f aca="false">IF($B13="","",IF(Challenges!$L$103=1,IF($B13=Challenges!$D$103,Challenges!$K$103,IF(AND(CU13&gt;=Challenges!$K$103,CU13&lt;Challenges!$J$103),CU13+1,CU13)),CU13))</f>
        <v>8</v>
      </c>
      <c r="CW13" s="0" t="n">
        <f aca="false">IF($B13="","",IF(Challenges!$L$104=1,IF($B13=Challenges!$D$104,Challenges!$K$104,IF(AND(CV13&gt;=Challenges!$K$104,CV13&lt;Challenges!$J$104),CV13+1,CV13)),CV13))</f>
        <v>8</v>
      </c>
      <c r="CX13" s="0" t="n">
        <f aca="false">IF($B13="","",IF(Challenges!$L$105=1,IF($B13=Challenges!$D$105,Challenges!$K$105,IF(AND(CW13&gt;=Challenges!$K$105,CW13&lt;Challenges!$J$105),CW13+1,CW13)),CW13))</f>
        <v>8</v>
      </c>
      <c r="CY13" s="0" t="n">
        <f aca="false">IF($B13="","",IF(Challenges!$L$106=1,IF($B13=Challenges!$D$106,Challenges!$K$106,IF(AND(CX13&gt;=Challenges!$K$106,CX13&lt;Challenges!$J$106),CX13+1,CX13)),CX13))</f>
        <v>8</v>
      </c>
    </row>
    <row r="14" customFormat="false" ht="15" hidden="false" customHeight="false" outlineLevel="0" collapsed="false">
      <c r="B14" s="0" t="str">
        <f aca="false">IF(Ladder!$C14="","",Ladder!$C14)</f>
        <v>Mateo</v>
      </c>
      <c r="C14" s="0" t="n">
        <f aca="false">IF($B14="","",ROW()-6)</f>
        <v>8</v>
      </c>
      <c r="D14" s="0" t="n">
        <f aca="false">IF($B14="","",IF(Challenges!$L$7=1,IF($B14=Challenges!$D$7,Challenges!$K$7,IF(AND(C14&gt;=Challenges!$K$7,C14&lt;Challenges!$J$7),C14+1,C14)),C14))</f>
        <v>8</v>
      </c>
      <c r="E14" s="0" t="n">
        <f aca="false">IF($B14="","",IF(Challenges!$L$8=1,IF($B14=Challenges!$D$8,Challenges!$K$8,IF(AND(D14&gt;=Challenges!$K$8,D14&lt;Challenges!$J$8),D14+1,D14)),D14))</f>
        <v>8</v>
      </c>
      <c r="F14" s="0" t="n">
        <f aca="false">IF($B14="","",IF(Challenges!$L$9=1,IF($B14=Challenges!$D$9,Challenges!$K$9,IF(AND(E14&gt;=Challenges!$K$9,E14&lt;Challenges!$J$9),E14+1,E14)),E14))</f>
        <v>9</v>
      </c>
      <c r="G14" s="0" t="n">
        <f aca="false">IF($B14="","",IF(Challenges!$L$10=1,IF($B14=Challenges!$D$10,Challenges!$K$10,IF(AND(F14&gt;=Challenges!$K$10,F14&lt;Challenges!$J$10),F14+1,F14)),F14))</f>
        <v>9</v>
      </c>
      <c r="H14" s="0" t="n">
        <f aca="false">IF($B14="","",IF(Challenges!$L$11=1,IF($B14=Challenges!$D$11,Challenges!$K$11,IF(AND(G14&gt;=Challenges!$K$11,G14&lt;Challenges!$J$11),G14+1,G14)),G14))</f>
        <v>9</v>
      </c>
      <c r="I14" s="0" t="n">
        <f aca="false">IF($B14="","",IF(Challenges!$L$12=1,IF($B14=Challenges!$D$12,Challenges!$K$12,IF(AND(H14&gt;=Challenges!$K$12,H14&lt;Challenges!$J$12),H14+1,H14)),H14))</f>
        <v>9</v>
      </c>
      <c r="J14" s="0" t="n">
        <f aca="false">IF($B14="","",IF(Challenges!$L$13=1,IF($B14=Challenges!$D$13,Challenges!$K$13,IF(AND(I14&gt;=Challenges!$K$13,I14&lt;Challenges!$J$13),I14+1,I14)),I14))</f>
        <v>9</v>
      </c>
      <c r="K14" s="0" t="n">
        <f aca="false">IF($B14="","",IF(Challenges!$L$14=1,IF($B14=Challenges!$D$14,Challenges!$K$14,IF(AND(J14&gt;=Challenges!$K$14,J14&lt;Challenges!$J$14),J14+1,J14)),J14))</f>
        <v>9</v>
      </c>
      <c r="L14" s="0" t="n">
        <f aca="false">IF($B14="","",IF(Challenges!$L$15=1,IF($B14=Challenges!$D$15,Challenges!$K$15,IF(AND(K14&gt;=Challenges!$K$15,K14&lt;Challenges!$J$15),K14+1,K14)),K14))</f>
        <v>9</v>
      </c>
      <c r="M14" s="0" t="n">
        <f aca="false">IF($B14="","",IF(Challenges!$L$16=1,IF($B14=Challenges!$D$16,Challenges!$K$16,IF(AND(L14&gt;=Challenges!$K$16,L14&lt;Challenges!$J$16),L14+1,L14)),L14))</f>
        <v>9</v>
      </c>
      <c r="N14" s="0" t="n">
        <f aca="false">IF($B14="","",IF(Challenges!$L$17=1,IF($B14=Challenges!$D$17,Challenges!$K$17,IF(AND(M14&gt;=Challenges!$K$17,M14&lt;Challenges!$J$17),M14+1,M14)),M14))</f>
        <v>9</v>
      </c>
      <c r="O14" s="0" t="n">
        <f aca="false">IF($B14="","",IF(Challenges!$L$18=1,IF($B14=Challenges!$D$18,Challenges!$K$18,IF(AND(N14&gt;=Challenges!$K$18,N14&lt;Challenges!$J$18),N14+1,N14)),N14))</f>
        <v>9</v>
      </c>
      <c r="P14" s="0" t="n">
        <f aca="false">IF($B14="","",IF(Challenges!$L$19=1,IF($B14=Challenges!$D$19,Challenges!$K$19,IF(AND(O14&gt;=Challenges!$K$19,O14&lt;Challenges!$J$19),O14+1,O14)),O14))</f>
        <v>9</v>
      </c>
      <c r="Q14" s="0" t="n">
        <f aca="false">IF($B14="","",IF(Challenges!$L$20=1,IF($B14=Challenges!$D$20,Challenges!$K$20,IF(AND(P14&gt;=Challenges!$K$20,P14&lt;Challenges!$J$20),P14+1,P14)),P14))</f>
        <v>9</v>
      </c>
      <c r="R14" s="0" t="n">
        <f aca="false">IF($B14="","",IF(Challenges!$L$21=1,IF($B14=Challenges!$D$21,Challenges!$K$21,IF(AND(Q14&gt;=Challenges!$K$21,Q14&lt;Challenges!$J$21),Q14+1,Q14)),Q14))</f>
        <v>9</v>
      </c>
      <c r="S14" s="0" t="n">
        <f aca="false">IF($B14="","",IF(Challenges!$L$22=1,IF($B14=Challenges!$D$22,Challenges!$K$22,IF(AND(R14&gt;=Challenges!$K$22,R14&lt;Challenges!$J$22),R14+1,R14)),R14))</f>
        <v>9</v>
      </c>
      <c r="T14" s="0" t="n">
        <f aca="false">IF($B14="","",IF(Challenges!$L$23=1,IF($B14=Challenges!$D$23,Challenges!$K$23,IF(AND(S14&gt;=Challenges!$K$23,S14&lt;Challenges!$J$23),S14+1,S14)),S14))</f>
        <v>9</v>
      </c>
      <c r="U14" s="0" t="n">
        <f aca="false">IF($B14="","",IF(Challenges!$L$24=1,IF($B14=Challenges!$D$24,Challenges!$K$24,IF(AND(T14&gt;=Challenges!$K$24,T14&lt;Challenges!$J$24),T14+1,T14)),T14))</f>
        <v>9</v>
      </c>
      <c r="V14" s="0" t="n">
        <f aca="false">IF($B14="","",IF(Challenges!$L$25=1,IF($B14=Challenges!$D$25,Challenges!$K$25,IF(AND(U14&gt;=Challenges!$K$25,U14&lt;Challenges!$J$25),U14+1,U14)),U14))</f>
        <v>9</v>
      </c>
      <c r="W14" s="0" t="n">
        <f aca="false">IF($B14="","",IF(Challenges!$L$26=1,IF($B14=Challenges!$D$26,Challenges!$K$26,IF(AND(V14&gt;=Challenges!$K$26,V14&lt;Challenges!$J$26),V14+1,V14)),V14))</f>
        <v>9</v>
      </c>
      <c r="X14" s="0" t="n">
        <f aca="false">IF($B14="","",IF(Challenges!$L$27=1,IF($B14=Challenges!$D$27,Challenges!$K$27,IF(AND(W14&gt;=Challenges!$K$27,W14&lt;Challenges!$J$27),W14+1,W14)),W14))</f>
        <v>9</v>
      </c>
      <c r="Y14" s="0" t="n">
        <f aca="false">IF($B14="","",IF(Challenges!$L$28=1,IF($B14=Challenges!$D$28,Challenges!$K$28,IF(AND(X14&gt;=Challenges!$K$28,X14&lt;Challenges!$J$28),X14+1,X14)),X14))</f>
        <v>9</v>
      </c>
      <c r="Z14" s="0" t="n">
        <f aca="false">IF($B14="","",IF(Challenges!$L$29=1,IF($B14=Challenges!$D$29,Challenges!$K$29,IF(AND(Y14&gt;=Challenges!$K$29,Y14&lt;Challenges!$J$29),Y14+1,Y14)),Y14))</f>
        <v>9</v>
      </c>
      <c r="AA14" s="0" t="n">
        <f aca="false">IF($B14="","",IF(Challenges!$L$30=1,IF($B14=Challenges!$D$30,Challenges!$K$30,IF(AND(Z14&gt;=Challenges!$K$30,Z14&lt;Challenges!$J$30),Z14+1,Z14)),Z14))</f>
        <v>9</v>
      </c>
      <c r="AB14" s="0" t="n">
        <f aca="false">IF($B14="","",IF(Challenges!$L$31=1,IF($B14=Challenges!$D$31,Challenges!$K$31,IF(AND(AA14&gt;=Challenges!$K$31,AA14&lt;Challenges!$J$31),AA14+1,AA14)),AA14))</f>
        <v>9</v>
      </c>
      <c r="AC14" s="0" t="n">
        <f aca="false">IF($B14="","",IF(Challenges!$L$32=1,IF($B14=Challenges!$D$32,Challenges!$K$32,IF(AND(AB14&gt;=Challenges!$K$32,AB14&lt;Challenges!$J$32),AB14+1,AB14)),AB14))</f>
        <v>9</v>
      </c>
      <c r="AD14" s="0" t="n">
        <f aca="false">IF($B14="","",IF(Challenges!$L$33=1,IF($B14=Challenges!$D$33,Challenges!$K$33,IF(AND(AC14&gt;=Challenges!$K$33,AC14&lt;Challenges!$J$33),AC14+1,AC14)),AC14))</f>
        <v>9</v>
      </c>
      <c r="AE14" s="0" t="n">
        <f aca="false">IF($B14="","",IF(Challenges!$L$34=1,IF($B14=Challenges!$D$34,Challenges!$K$34,IF(AND(AD14&gt;=Challenges!$K$34,AD14&lt;Challenges!$J$34),AD14+1,AD14)),AD14))</f>
        <v>9</v>
      </c>
      <c r="AF14" s="0" t="n">
        <f aca="false">IF($B14="","",IF(Challenges!$L$35=1,IF($B14=Challenges!$D$35,Challenges!$K$35,IF(AND(AE14&gt;=Challenges!$K$35,AE14&lt;Challenges!$J$35),AE14+1,AE14)),AE14))</f>
        <v>9</v>
      </c>
      <c r="AG14" s="0" t="n">
        <f aca="false">IF($B14="","",IF(Challenges!$L$36=1,IF($B14=Challenges!$D$36,Challenges!$K$36,IF(AND(AF14&gt;=Challenges!$K$36,AF14&lt;Challenges!$J$36),AF14+1,AF14)),AF14))</f>
        <v>9</v>
      </c>
      <c r="AH14" s="0" t="n">
        <f aca="false">IF($B14="","",IF(Challenges!$L$37=1,IF($B14=Challenges!$D$37,Challenges!$K$37,IF(AND(AG14&gt;=Challenges!$K$37,AG14&lt;Challenges!$J$37),AG14+1,AG14)),AG14))</f>
        <v>9</v>
      </c>
      <c r="AI14" s="0" t="n">
        <f aca="false">IF($B14="","",IF(Challenges!$L$38=1,IF($B14=Challenges!$D$38,Challenges!$K$38,IF(AND(AH14&gt;=Challenges!$K$38,AH14&lt;Challenges!$J$38),AH14+1,AH14)),AH14))</f>
        <v>9</v>
      </c>
      <c r="AJ14" s="0" t="n">
        <f aca="false">IF($B14="","",IF(Challenges!$L$39=1,IF($B14=Challenges!$D$39,Challenges!$K$39,IF(AND(AI14&gt;=Challenges!$K$39,AI14&lt;Challenges!$J$39),AI14+1,AI14)),AI14))</f>
        <v>9</v>
      </c>
      <c r="AK14" s="0" t="n">
        <f aca="false">IF($B14="","",IF(Challenges!$L$40=1,IF($B14=Challenges!$D$40,Challenges!$K$40,IF(AND(AJ14&gt;=Challenges!$K$40,AJ14&lt;Challenges!$J$40),AJ14+1,AJ14)),AJ14))</f>
        <v>9</v>
      </c>
      <c r="AL14" s="0" t="n">
        <f aca="false">IF($B14="","",IF(Challenges!$L$41=1,IF($B14=Challenges!$D$41,Challenges!$K$41,IF(AND(AK14&gt;=Challenges!$K$41,AK14&lt;Challenges!$J$41),AK14+1,AK14)),AK14))</f>
        <v>9</v>
      </c>
      <c r="AM14" s="0" t="n">
        <f aca="false">IF($B14="","",IF(Challenges!$L$42=1,IF($B14=Challenges!$D$42,Challenges!$K$42,IF(AND(AL14&gt;=Challenges!$K$42,AL14&lt;Challenges!$J$42),AL14+1,AL14)),AL14))</f>
        <v>9</v>
      </c>
      <c r="AN14" s="0" t="n">
        <f aca="false">IF($B14="","",IF(Challenges!$L$43=1,IF($B14=Challenges!$D$43,Challenges!$K$43,IF(AND(AM14&gt;=Challenges!$K$43,AM14&lt;Challenges!$J$43),AM14+1,AM14)),AM14))</f>
        <v>9</v>
      </c>
      <c r="AO14" s="0" t="n">
        <f aca="false">IF($B14="","",IF(Challenges!$L$44=1,IF($B14=Challenges!$D$44,Challenges!$K$44,IF(AND(AN14&gt;=Challenges!$K$44,AN14&lt;Challenges!$J$44),AN14+1,AN14)),AN14))</f>
        <v>9</v>
      </c>
      <c r="AP14" s="0" t="n">
        <f aca="false">IF($B14="","",IF(Challenges!$L$45=1,IF($B14=Challenges!$D$45,Challenges!$K$45,IF(AND(AO14&gt;=Challenges!$K$45,AO14&lt;Challenges!$J$45),AO14+1,AO14)),AO14))</f>
        <v>9</v>
      </c>
      <c r="AQ14" s="0" t="n">
        <f aca="false">IF($B14="","",IF(Challenges!$L$46=1,IF($B14=Challenges!$D$46,Challenges!$K$46,IF(AND(AP14&gt;=Challenges!$K$46,AP14&lt;Challenges!$J$46),AP14+1,AP14)),AP14))</f>
        <v>9</v>
      </c>
      <c r="AR14" s="0" t="n">
        <f aca="false">IF($B14="","",IF(Challenges!$L$47=1,IF($B14=Challenges!$D$47,Challenges!$K$47,IF(AND(AQ14&gt;=Challenges!$K$47,AQ14&lt;Challenges!$J$47),AQ14+1,AQ14)),AQ14))</f>
        <v>9</v>
      </c>
      <c r="AS14" s="0" t="n">
        <f aca="false">IF($B14="","",IF(Challenges!$L$48=1,IF($B14=Challenges!$D$48,Challenges!$K$48,IF(AND(AR14&gt;=Challenges!$K$48,AR14&lt;Challenges!$J$48),AR14+1,AR14)),AR14))</f>
        <v>9</v>
      </c>
      <c r="AT14" s="0" t="n">
        <f aca="false">IF($B14="","",IF(Challenges!$L$49=1,IF($B14=Challenges!$D$49,Challenges!$K$49,IF(AND(AS14&gt;=Challenges!$K$49,AS14&lt;Challenges!$J$49),AS14+1,AS14)),AS14))</f>
        <v>9</v>
      </c>
      <c r="AU14" s="0" t="n">
        <f aca="false">IF($B14="","",IF(Challenges!$L$50=1,IF($B14=Challenges!$D$50,Challenges!$K$50,IF(AND(AT14&gt;=Challenges!$K$50,AT14&lt;Challenges!$J$50),AT14+1,AT14)),AT14))</f>
        <v>9</v>
      </c>
      <c r="AV14" s="0" t="n">
        <f aca="false">IF($B14="","",IF(Challenges!$L$51=1,IF($B14=Challenges!$D$51,Challenges!$K$51,IF(AND(AU14&gt;=Challenges!$K$51,AU14&lt;Challenges!$J$51),AU14+1,AU14)),AU14))</f>
        <v>9</v>
      </c>
      <c r="AW14" s="0" t="n">
        <f aca="false">IF($B14="","",IF(Challenges!$L$52=1,IF($B14=Challenges!$D$52,Challenges!$K$52,IF(AND(AV14&gt;=Challenges!$K$52,AV14&lt;Challenges!$J$52),AV14+1,AV14)),AV14))</f>
        <v>9</v>
      </c>
      <c r="AX14" s="0" t="n">
        <f aca="false">IF($B14="","",IF(Challenges!$L$53=1,IF($B14=Challenges!$D$53,Challenges!$K$53,IF(AND(AW14&gt;=Challenges!$K$53,AW14&lt;Challenges!$J$53),AW14+1,AW14)),AW14))</f>
        <v>9</v>
      </c>
      <c r="AY14" s="0" t="n">
        <f aca="false">IF($B14="","",IF(Challenges!$L$54=1,IF($B14=Challenges!$D$54,Challenges!$K$54,IF(AND(AX14&gt;=Challenges!$K$54,AX14&lt;Challenges!$J$54),AX14+1,AX14)),AX14))</f>
        <v>9</v>
      </c>
      <c r="AZ14" s="0" t="n">
        <f aca="false">IF($B14="","",IF(Challenges!$L$55=1,IF($B14=Challenges!$D$55,Challenges!$K$55,IF(AND(AY14&gt;=Challenges!$K$55,AY14&lt;Challenges!$J$55),AY14+1,AY14)),AY14))</f>
        <v>9</v>
      </c>
      <c r="BA14" s="0" t="n">
        <f aca="false">IF($B14="","",IF(Challenges!$L$56=1,IF($B14=Challenges!$D$56,Challenges!$K$56,IF(AND(AZ14&gt;=Challenges!$K$56,AZ14&lt;Challenges!$J$56),AZ14+1,AZ14)),AZ14))</f>
        <v>9</v>
      </c>
      <c r="BB14" s="0" t="n">
        <f aca="false">IF($B14="","",IF(Challenges!$L$57=1,IF($B14=Challenges!$D$57,Challenges!$K$57,IF(AND(BA14&gt;=Challenges!$K$57,BA14&lt;Challenges!$J$57),BA14+1,BA14)),BA14))</f>
        <v>9</v>
      </c>
      <c r="BC14" s="0" t="n">
        <f aca="false">IF($B14="","",IF(Challenges!$L$58=1,IF($B14=Challenges!$D$58,Challenges!$K$58,IF(AND(BB14&gt;=Challenges!$K$58,BB14&lt;Challenges!$J$58),BB14+1,BB14)),BB14))</f>
        <v>9</v>
      </c>
      <c r="BD14" s="0" t="n">
        <f aca="false">IF($B14="","",IF(Challenges!$L$59=1,IF($B14=Challenges!$D$59,Challenges!$K$59,IF(AND(BC14&gt;=Challenges!$K$59,BC14&lt;Challenges!$J$59),BC14+1,BC14)),BC14))</f>
        <v>9</v>
      </c>
      <c r="BE14" s="0" t="n">
        <f aca="false">IF($B14="","",IF(Challenges!$L$60=1,IF($B14=Challenges!$D$60,Challenges!$K$60,IF(AND(BD14&gt;=Challenges!$K$60,BD14&lt;Challenges!$J$60),BD14+1,BD14)),BD14))</f>
        <v>9</v>
      </c>
      <c r="BF14" s="0" t="n">
        <f aca="false">IF($B14="","",IF(Challenges!$L$61=1,IF($B14=Challenges!$D$61,Challenges!$K$61,IF(AND(BE14&gt;=Challenges!$K$61,BE14&lt;Challenges!$J$61),BE14+1,BE14)),BE14))</f>
        <v>9</v>
      </c>
      <c r="BG14" s="0" t="n">
        <f aca="false">IF($B14="","",IF(Challenges!$L$62=1,IF($B14=Challenges!$D$62,Challenges!$K$62,IF(AND(BF14&gt;=Challenges!$K$62,BF14&lt;Challenges!$J$62),BF14+1,BF14)),BF14))</f>
        <v>9</v>
      </c>
      <c r="BH14" s="0" t="n">
        <f aca="false">IF($B14="","",IF(Challenges!$L$63=1,IF($B14=Challenges!$D$63,Challenges!$K$63,IF(AND(BG14&gt;=Challenges!$K$63,BG14&lt;Challenges!$J$63),BG14+1,BG14)),BG14))</f>
        <v>9</v>
      </c>
      <c r="BI14" s="0" t="n">
        <f aca="false">IF($B14="","",IF(Challenges!$L$64=1,IF($B14=Challenges!$D$64,Challenges!$K$64,IF(AND(BH14&gt;=Challenges!$K$64,BH14&lt;Challenges!$J$64),BH14+1,BH14)),BH14))</f>
        <v>9</v>
      </c>
      <c r="BJ14" s="0" t="n">
        <f aca="false">IF($B14="","",IF(Challenges!$L$65=1,IF($B14=Challenges!$D$65,Challenges!$K$65,IF(AND(BI14&gt;=Challenges!$K$65,BI14&lt;Challenges!$J$65),BI14+1,BI14)),BI14))</f>
        <v>9</v>
      </c>
      <c r="BK14" s="0" t="n">
        <f aca="false">IF($B14="","",IF(Challenges!$L$66=1,IF($B14=Challenges!$D$66,Challenges!$K$66,IF(AND(BJ14&gt;=Challenges!$K$66,BJ14&lt;Challenges!$J$66),BJ14+1,BJ14)),BJ14))</f>
        <v>9</v>
      </c>
      <c r="BL14" s="0" t="n">
        <f aca="false">IF($B14="","",IF(Challenges!$L$67=1,IF($B14=Challenges!$D$67,Challenges!$K$67,IF(AND(BK14&gt;=Challenges!$K$67,BK14&lt;Challenges!$J$67),BK14+1,BK14)),BK14))</f>
        <v>9</v>
      </c>
      <c r="BM14" s="0" t="n">
        <f aca="false">IF($B14="","",IF(Challenges!$L$68=1,IF($B14=Challenges!$D$68,Challenges!$K$68,IF(AND(BL14&gt;=Challenges!$K$68,BL14&lt;Challenges!$J$68),BL14+1,BL14)),BL14))</f>
        <v>9</v>
      </c>
      <c r="BN14" s="0" t="n">
        <f aca="false">IF($B14="","",IF(Challenges!$L$69=1,IF($B14=Challenges!$D$69,Challenges!$K$69,IF(AND(BM14&gt;=Challenges!$K$69,BM14&lt;Challenges!$J$69),BM14+1,BM14)),BM14))</f>
        <v>9</v>
      </c>
      <c r="BO14" s="0" t="n">
        <f aca="false">IF($B14="","",IF(Challenges!$L$70=1,IF($B14=Challenges!$D$70,Challenges!$K$70,IF(AND(BN14&gt;=Challenges!$K$70,BN14&lt;Challenges!$J$70),BN14+1,BN14)),BN14))</f>
        <v>9</v>
      </c>
      <c r="BP14" s="0" t="n">
        <f aca="false">IF($B14="","",IF(Challenges!$L$71=1,IF($B14=Challenges!$D$71,Challenges!$K$71,IF(AND(BO14&gt;=Challenges!$K$71,BO14&lt;Challenges!$J$71),BO14+1,BO14)),BO14))</f>
        <v>9</v>
      </c>
      <c r="BQ14" s="0" t="n">
        <f aca="false">IF($B14="","",IF(Challenges!$L$72=1,IF($B14=Challenges!$D$72,Challenges!$K$72,IF(AND(BP14&gt;=Challenges!$K$72,BP14&lt;Challenges!$J$72),BP14+1,BP14)),BP14))</f>
        <v>9</v>
      </c>
      <c r="BR14" s="0" t="n">
        <f aca="false">IF($B14="","",IF(Challenges!$L$73=1,IF($B14=Challenges!$D$73,Challenges!$K$73,IF(AND(BQ14&gt;=Challenges!$K$73,BQ14&lt;Challenges!$J$73),BQ14+1,BQ14)),BQ14))</f>
        <v>9</v>
      </c>
      <c r="BS14" s="0" t="n">
        <f aca="false">IF($B14="","",IF(Challenges!$L$74=1,IF($B14=Challenges!$D$74,Challenges!$K$74,IF(AND(BR14&gt;=Challenges!$K$74,BR14&lt;Challenges!$J$74),BR14+1,BR14)),BR14))</f>
        <v>9</v>
      </c>
      <c r="BT14" s="0" t="n">
        <f aca="false">IF($B14="","",IF(Challenges!$L$75=1,IF($B14=Challenges!$D$75,Challenges!$K$75,IF(AND(BS14&gt;=Challenges!$K$75,BS14&lt;Challenges!$J$75),BS14+1,BS14)),BS14))</f>
        <v>9</v>
      </c>
      <c r="BU14" s="0" t="n">
        <f aca="false">IF($B14="","",IF(Challenges!$L$76=1,IF($B14=Challenges!$D$76,Challenges!$K$76,IF(AND(BT14&gt;=Challenges!$K$76,BT14&lt;Challenges!$J$76),BT14+1,BT14)),BT14))</f>
        <v>9</v>
      </c>
      <c r="BV14" s="0" t="n">
        <f aca="false">IF($B14="","",IF(Challenges!$L$77=1,IF($B14=Challenges!$D$77,Challenges!$K$77,IF(AND(BU14&gt;=Challenges!$K$77,BU14&lt;Challenges!$J$77),BU14+1,BU14)),BU14))</f>
        <v>9</v>
      </c>
      <c r="BW14" s="0" t="n">
        <f aca="false">IF($B14="","",IF(Challenges!$L$78=1,IF($B14=Challenges!$D$78,Challenges!$K$78,IF(AND(BV14&gt;=Challenges!$K$78,BV14&lt;Challenges!$J$78),BV14+1,BV14)),BV14))</f>
        <v>9</v>
      </c>
      <c r="BX14" s="0" t="n">
        <f aca="false">IF($B14="","",IF(Challenges!$L$79=1,IF($B14=Challenges!$D$79,Challenges!$K$79,IF(AND(BW14&gt;=Challenges!$K$79,BW14&lt;Challenges!$J$79),BW14+1,BW14)),BW14))</f>
        <v>9</v>
      </c>
      <c r="BY14" s="0" t="n">
        <f aca="false">IF($B14="","",IF(Challenges!$L$80=1,IF($B14=Challenges!$D$80,Challenges!$K$80,IF(AND(BX14&gt;=Challenges!$K$80,BX14&lt;Challenges!$J$80),BX14+1,BX14)),BX14))</f>
        <v>9</v>
      </c>
      <c r="BZ14" s="0" t="n">
        <f aca="false">IF($B14="","",IF(Challenges!$L$81=1,IF($B14=Challenges!$D$81,Challenges!$K$81,IF(AND(BY14&gt;=Challenges!$K$81,BY14&lt;Challenges!$J$81),BY14+1,BY14)),BY14))</f>
        <v>9</v>
      </c>
      <c r="CA14" s="0" t="n">
        <f aca="false">IF($B14="","",IF(Challenges!$L$82=1,IF($B14=Challenges!$D$82,Challenges!$K$82,IF(AND(BZ14&gt;=Challenges!$K$82,BZ14&lt;Challenges!$J$82),BZ14+1,BZ14)),BZ14))</f>
        <v>9</v>
      </c>
      <c r="CB14" s="0" t="n">
        <f aca="false">IF($B14="","",IF(Challenges!$L$83=1,IF($B14=Challenges!$D$83,Challenges!$K$83,IF(AND(CA14&gt;=Challenges!$K$83,CA14&lt;Challenges!$J$83),CA14+1,CA14)),CA14))</f>
        <v>9</v>
      </c>
      <c r="CC14" s="0" t="n">
        <f aca="false">IF($B14="","",IF(Challenges!$L$84=1,IF($B14=Challenges!$D$84,Challenges!$K$84,IF(AND(CB14&gt;=Challenges!$K$84,CB14&lt;Challenges!$J$84),CB14+1,CB14)),CB14))</f>
        <v>9</v>
      </c>
      <c r="CD14" s="0" t="n">
        <f aca="false">IF($B14="","",IF(Challenges!$L$85=1,IF($B14=Challenges!$D$85,Challenges!$K$85,IF(AND(CC14&gt;=Challenges!$K$85,CC14&lt;Challenges!$J$85),CC14+1,CC14)),CC14))</f>
        <v>9</v>
      </c>
      <c r="CE14" s="0" t="n">
        <f aca="false">IF($B14="","",IF(Challenges!$L$86=1,IF($B14=Challenges!$D$86,Challenges!$K$86,IF(AND(CD14&gt;=Challenges!$K$86,CD14&lt;Challenges!$J$86),CD14+1,CD14)),CD14))</f>
        <v>9</v>
      </c>
      <c r="CF14" s="0" t="n">
        <f aca="false">IF($B14="","",IF(Challenges!$L$87=1,IF($B14=Challenges!$D$87,Challenges!$K$87,IF(AND(CE14&gt;=Challenges!$K$87,CE14&lt;Challenges!$J$87),CE14+1,CE14)),CE14))</f>
        <v>9</v>
      </c>
      <c r="CG14" s="0" t="n">
        <f aca="false">IF($B14="","",IF(Challenges!$L$88=1,IF($B14=Challenges!$D$88,Challenges!$K$88,IF(AND(CF14&gt;=Challenges!$K$88,CF14&lt;Challenges!$J$88),CF14+1,CF14)),CF14))</f>
        <v>9</v>
      </c>
      <c r="CH14" s="0" t="n">
        <f aca="false">IF($B14="","",IF(Challenges!$L$89=1,IF($B14=Challenges!$D$89,Challenges!$K$89,IF(AND(CG14&gt;=Challenges!$K$89,CG14&lt;Challenges!$J$89),CG14+1,CG14)),CG14))</f>
        <v>9</v>
      </c>
      <c r="CI14" s="0" t="n">
        <f aca="false">IF($B14="","",IF(Challenges!$L$90=1,IF($B14=Challenges!$D$90,Challenges!$K$90,IF(AND(CH14&gt;=Challenges!$K$90,CH14&lt;Challenges!$J$90),CH14+1,CH14)),CH14))</f>
        <v>9</v>
      </c>
      <c r="CJ14" s="0" t="n">
        <f aca="false">IF($B14="","",IF(Challenges!$L$91=1,IF($B14=Challenges!$D$91,Challenges!$K$91,IF(AND(CI14&gt;=Challenges!$K$91,CI14&lt;Challenges!$J$91),CI14+1,CI14)),CI14))</f>
        <v>9</v>
      </c>
      <c r="CK14" s="0" t="n">
        <f aca="false">IF($B14="","",IF(Challenges!$L$92=1,IF($B14=Challenges!$D$92,Challenges!$K$92,IF(AND(CJ14&gt;=Challenges!$K$92,CJ14&lt;Challenges!$J$92),CJ14+1,CJ14)),CJ14))</f>
        <v>9</v>
      </c>
      <c r="CL14" s="0" t="n">
        <f aca="false">IF($B14="","",IF(Challenges!$L$93=1,IF($B14=Challenges!$D$93,Challenges!$K$93,IF(AND(CK14&gt;=Challenges!$K$93,CK14&lt;Challenges!$J$93),CK14+1,CK14)),CK14))</f>
        <v>9</v>
      </c>
      <c r="CM14" s="0" t="n">
        <f aca="false">IF($B14="","",IF(Challenges!$L$94=1,IF($B14=Challenges!$D$94,Challenges!$K$94,IF(AND(CL14&gt;=Challenges!$K$94,CL14&lt;Challenges!$J$94),CL14+1,CL14)),CL14))</f>
        <v>9</v>
      </c>
      <c r="CN14" s="0" t="n">
        <f aca="false">IF($B14="","",IF(Challenges!$L$95=1,IF($B14=Challenges!$D$95,Challenges!$K$95,IF(AND(CM14&gt;=Challenges!$K$95,CM14&lt;Challenges!$J$95),CM14+1,CM14)),CM14))</f>
        <v>9</v>
      </c>
      <c r="CO14" s="0" t="n">
        <f aca="false">IF($B14="","",IF(Challenges!$L$96=1,IF($B14=Challenges!$D$96,Challenges!$K$96,IF(AND(CN14&gt;=Challenges!$K$96,CN14&lt;Challenges!$J$96),CN14+1,CN14)),CN14))</f>
        <v>9</v>
      </c>
      <c r="CP14" s="0" t="n">
        <f aca="false">IF($B14="","",IF(Challenges!$L$97=1,IF($B14=Challenges!$D$97,Challenges!$K$97,IF(AND(CO14&gt;=Challenges!$K$97,CO14&lt;Challenges!$J$97),CO14+1,CO14)),CO14))</f>
        <v>9</v>
      </c>
      <c r="CQ14" s="0" t="n">
        <f aca="false">IF($B14="","",IF(Challenges!$L$98=1,IF($B14=Challenges!$D$98,Challenges!$K$98,IF(AND(CP14&gt;=Challenges!$K$98,CP14&lt;Challenges!$J$98),CP14+1,CP14)),CP14))</f>
        <v>9</v>
      </c>
      <c r="CR14" s="0" t="n">
        <f aca="false">IF($B14="","",IF(Challenges!$L$99=1,IF($B14=Challenges!$D$99,Challenges!$K$99,IF(AND(CQ14&gt;=Challenges!$K$99,CQ14&lt;Challenges!$J$99),CQ14+1,CQ14)),CQ14))</f>
        <v>9</v>
      </c>
      <c r="CS14" s="0" t="n">
        <f aca="false">IF($B14="","",IF(Challenges!$L$100=1,IF($B14=Challenges!$D$100,Challenges!$K$100,IF(AND(CR14&gt;=Challenges!$K$100,CR14&lt;Challenges!$J$100),CR14+1,CR14)),CR14))</f>
        <v>9</v>
      </c>
      <c r="CT14" s="0" t="n">
        <f aca="false">IF($B14="","",IF(Challenges!$L$101=1,IF($B14=Challenges!$D$101,Challenges!$K$101,IF(AND(CS14&gt;=Challenges!$K$101,CS14&lt;Challenges!$J$101),CS14+1,CS14)),CS14))</f>
        <v>9</v>
      </c>
      <c r="CU14" s="0" t="n">
        <f aca="false">IF($B14="","",IF(Challenges!$L$102=1,IF($B14=Challenges!$D$102,Challenges!$K$102,IF(AND(CT14&gt;=Challenges!$K$102,CT14&lt;Challenges!$J$102),CT14+1,CT14)),CT14))</f>
        <v>9</v>
      </c>
      <c r="CV14" s="0" t="n">
        <f aca="false">IF($B14="","",IF(Challenges!$L$103=1,IF($B14=Challenges!$D$103,Challenges!$K$103,IF(AND(CU14&gt;=Challenges!$K$103,CU14&lt;Challenges!$J$103),CU14+1,CU14)),CU14))</f>
        <v>9</v>
      </c>
      <c r="CW14" s="0" t="n">
        <f aca="false">IF($B14="","",IF(Challenges!$L$104=1,IF($B14=Challenges!$D$104,Challenges!$K$104,IF(AND(CV14&gt;=Challenges!$K$104,CV14&lt;Challenges!$J$104),CV14+1,CV14)),CV14))</f>
        <v>9</v>
      </c>
      <c r="CX14" s="0" t="n">
        <f aca="false">IF($B14="","",IF(Challenges!$L$105=1,IF($B14=Challenges!$D$105,Challenges!$K$105,IF(AND(CW14&gt;=Challenges!$K$105,CW14&lt;Challenges!$J$105),CW14+1,CW14)),CW14))</f>
        <v>9</v>
      </c>
      <c r="CY14" s="0" t="n">
        <f aca="false">IF($B14="","",IF(Challenges!$L$106=1,IF($B14=Challenges!$D$106,Challenges!$K$106,IF(AND(CX14&gt;=Challenges!$K$106,CX14&lt;Challenges!$J$106),CX14+1,CX14)),CX14))</f>
        <v>9</v>
      </c>
    </row>
    <row r="15" customFormat="false" ht="15" hidden="false" customHeight="false" outlineLevel="0" collapsed="false">
      <c r="B15" s="0" t="str">
        <f aca="false">IF(Ladder!$C15="","",Ladder!$C15)</f>
        <v>Nina</v>
      </c>
      <c r="C15" s="0" t="n">
        <f aca="false">IF($B15="","",ROW()-6)</f>
        <v>9</v>
      </c>
      <c r="D15" s="0" t="n">
        <f aca="false">IF($B15="","",IF(Challenges!$L$7=1,IF($B15=Challenges!$D$7,Challenges!$K$7,IF(AND(C15&gt;=Challenges!$K$7,C15&lt;Challenges!$J$7),C15+1,C15)),C15))</f>
        <v>9</v>
      </c>
      <c r="E15" s="0" t="n">
        <f aca="false">IF($B15="","",IF(Challenges!$L$8=1,IF($B15=Challenges!$D$8,Challenges!$K$8,IF(AND(D15&gt;=Challenges!$K$8,D15&lt;Challenges!$J$8),D15+1,D15)),D15))</f>
        <v>9</v>
      </c>
      <c r="F15" s="0" t="n">
        <f aca="false">IF($B15="","",IF(Challenges!$L$9=1,IF($B15=Challenges!$D$9,Challenges!$K$9,IF(AND(E15&gt;=Challenges!$K$9,E15&lt;Challenges!$J$9),E15+1,E15)),E15))</f>
        <v>10</v>
      </c>
      <c r="G15" s="0" t="n">
        <f aca="false">IF($B15="","",IF(Challenges!$L$10=1,IF($B15=Challenges!$D$10,Challenges!$K$10,IF(AND(F15&gt;=Challenges!$K$10,F15&lt;Challenges!$J$10),F15+1,F15)),F15))</f>
        <v>10</v>
      </c>
      <c r="H15" s="0" t="n">
        <f aca="false">IF($B15="","",IF(Challenges!$L$11=1,IF($B15=Challenges!$D$11,Challenges!$K$11,IF(AND(G15&gt;=Challenges!$K$11,G15&lt;Challenges!$J$11),G15+1,G15)),G15))</f>
        <v>10</v>
      </c>
      <c r="I15" s="0" t="n">
        <f aca="false">IF($B15="","",IF(Challenges!$L$12=1,IF($B15=Challenges!$D$12,Challenges!$K$12,IF(AND(H15&gt;=Challenges!$K$12,H15&lt;Challenges!$J$12),H15+1,H15)),H15))</f>
        <v>10</v>
      </c>
      <c r="J15" s="0" t="n">
        <f aca="false">IF($B15="","",IF(Challenges!$L$13=1,IF($B15=Challenges!$D$13,Challenges!$K$13,IF(AND(I15&gt;=Challenges!$K$13,I15&lt;Challenges!$J$13),I15+1,I15)),I15))</f>
        <v>10</v>
      </c>
      <c r="K15" s="0" t="n">
        <f aca="false">IF($B15="","",IF(Challenges!$L$14=1,IF($B15=Challenges!$D$14,Challenges!$K$14,IF(AND(J15&gt;=Challenges!$K$14,J15&lt;Challenges!$J$14),J15+1,J15)),J15))</f>
        <v>10</v>
      </c>
      <c r="L15" s="0" t="n">
        <f aca="false">IF($B15="","",IF(Challenges!$L$15=1,IF($B15=Challenges!$D$15,Challenges!$K$15,IF(AND(K15&gt;=Challenges!$K$15,K15&lt;Challenges!$J$15),K15+1,K15)),K15))</f>
        <v>10</v>
      </c>
      <c r="M15" s="0" t="n">
        <f aca="false">IF($B15="","",IF(Challenges!$L$16=1,IF($B15=Challenges!$D$16,Challenges!$K$16,IF(AND(L15&gt;=Challenges!$K$16,L15&lt;Challenges!$J$16),L15+1,L15)),L15))</f>
        <v>10</v>
      </c>
      <c r="N15" s="0" t="n">
        <f aca="false">IF($B15="","",IF(Challenges!$L$17=1,IF($B15=Challenges!$D$17,Challenges!$K$17,IF(AND(M15&gt;=Challenges!$K$17,M15&lt;Challenges!$J$17),M15+1,M15)),M15))</f>
        <v>10</v>
      </c>
      <c r="O15" s="0" t="n">
        <f aca="false">IF($B15="","",IF(Challenges!$L$18=1,IF($B15=Challenges!$D$18,Challenges!$K$18,IF(AND(N15&gt;=Challenges!$K$18,N15&lt;Challenges!$J$18),N15+1,N15)),N15))</f>
        <v>10</v>
      </c>
      <c r="P15" s="0" t="n">
        <f aca="false">IF($B15="","",IF(Challenges!$L$19=1,IF($B15=Challenges!$D$19,Challenges!$K$19,IF(AND(O15&gt;=Challenges!$K$19,O15&lt;Challenges!$J$19),O15+1,O15)),O15))</f>
        <v>10</v>
      </c>
      <c r="Q15" s="0" t="n">
        <f aca="false">IF($B15="","",IF(Challenges!$L$20=1,IF($B15=Challenges!$D$20,Challenges!$K$20,IF(AND(P15&gt;=Challenges!$K$20,P15&lt;Challenges!$J$20),P15+1,P15)),P15))</f>
        <v>10</v>
      </c>
      <c r="R15" s="0" t="n">
        <f aca="false">IF($B15="","",IF(Challenges!$L$21=1,IF($B15=Challenges!$D$21,Challenges!$K$21,IF(AND(Q15&gt;=Challenges!$K$21,Q15&lt;Challenges!$J$21),Q15+1,Q15)),Q15))</f>
        <v>10</v>
      </c>
      <c r="S15" s="0" t="n">
        <f aca="false">IF($B15="","",IF(Challenges!$L$22=1,IF($B15=Challenges!$D$22,Challenges!$K$22,IF(AND(R15&gt;=Challenges!$K$22,R15&lt;Challenges!$J$22),R15+1,R15)),R15))</f>
        <v>10</v>
      </c>
      <c r="T15" s="0" t="n">
        <f aca="false">IF($B15="","",IF(Challenges!$L$23=1,IF($B15=Challenges!$D$23,Challenges!$K$23,IF(AND(S15&gt;=Challenges!$K$23,S15&lt;Challenges!$J$23),S15+1,S15)),S15))</f>
        <v>10</v>
      </c>
      <c r="U15" s="0" t="n">
        <f aca="false">IF($B15="","",IF(Challenges!$L$24=1,IF($B15=Challenges!$D$24,Challenges!$K$24,IF(AND(T15&gt;=Challenges!$K$24,T15&lt;Challenges!$J$24),T15+1,T15)),T15))</f>
        <v>10</v>
      </c>
      <c r="V15" s="0" t="n">
        <f aca="false">IF($B15="","",IF(Challenges!$L$25=1,IF($B15=Challenges!$D$25,Challenges!$K$25,IF(AND(U15&gt;=Challenges!$K$25,U15&lt;Challenges!$J$25),U15+1,U15)),U15))</f>
        <v>10</v>
      </c>
      <c r="W15" s="0" t="n">
        <f aca="false">IF($B15="","",IF(Challenges!$L$26=1,IF($B15=Challenges!$D$26,Challenges!$K$26,IF(AND(V15&gt;=Challenges!$K$26,V15&lt;Challenges!$J$26),V15+1,V15)),V15))</f>
        <v>10</v>
      </c>
      <c r="X15" s="0" t="n">
        <f aca="false">IF($B15="","",IF(Challenges!$L$27=1,IF($B15=Challenges!$D$27,Challenges!$K$27,IF(AND(W15&gt;=Challenges!$K$27,W15&lt;Challenges!$J$27),W15+1,W15)),W15))</f>
        <v>10</v>
      </c>
      <c r="Y15" s="0" t="n">
        <f aca="false">IF($B15="","",IF(Challenges!$L$28=1,IF($B15=Challenges!$D$28,Challenges!$K$28,IF(AND(X15&gt;=Challenges!$K$28,X15&lt;Challenges!$J$28),X15+1,X15)),X15))</f>
        <v>10</v>
      </c>
      <c r="Z15" s="0" t="n">
        <f aca="false">IF($B15="","",IF(Challenges!$L$29=1,IF($B15=Challenges!$D$29,Challenges!$K$29,IF(AND(Y15&gt;=Challenges!$K$29,Y15&lt;Challenges!$J$29),Y15+1,Y15)),Y15))</f>
        <v>10</v>
      </c>
      <c r="AA15" s="0" t="n">
        <f aca="false">IF($B15="","",IF(Challenges!$L$30=1,IF($B15=Challenges!$D$30,Challenges!$K$30,IF(AND(Z15&gt;=Challenges!$K$30,Z15&lt;Challenges!$J$30),Z15+1,Z15)),Z15))</f>
        <v>10</v>
      </c>
      <c r="AB15" s="0" t="n">
        <f aca="false">IF($B15="","",IF(Challenges!$L$31=1,IF($B15=Challenges!$D$31,Challenges!$K$31,IF(AND(AA15&gt;=Challenges!$K$31,AA15&lt;Challenges!$J$31),AA15+1,AA15)),AA15))</f>
        <v>10</v>
      </c>
      <c r="AC15" s="0" t="n">
        <f aca="false">IF($B15="","",IF(Challenges!$L$32=1,IF($B15=Challenges!$D$32,Challenges!$K$32,IF(AND(AB15&gt;=Challenges!$K$32,AB15&lt;Challenges!$J$32),AB15+1,AB15)),AB15))</f>
        <v>10</v>
      </c>
      <c r="AD15" s="0" t="n">
        <f aca="false">IF($B15="","",IF(Challenges!$L$33=1,IF($B15=Challenges!$D$33,Challenges!$K$33,IF(AND(AC15&gt;=Challenges!$K$33,AC15&lt;Challenges!$J$33),AC15+1,AC15)),AC15))</f>
        <v>10</v>
      </c>
      <c r="AE15" s="0" t="n">
        <f aca="false">IF($B15="","",IF(Challenges!$L$34=1,IF($B15=Challenges!$D$34,Challenges!$K$34,IF(AND(AD15&gt;=Challenges!$K$34,AD15&lt;Challenges!$J$34),AD15+1,AD15)),AD15))</f>
        <v>10</v>
      </c>
      <c r="AF15" s="0" t="n">
        <f aca="false">IF($B15="","",IF(Challenges!$L$35=1,IF($B15=Challenges!$D$35,Challenges!$K$35,IF(AND(AE15&gt;=Challenges!$K$35,AE15&lt;Challenges!$J$35),AE15+1,AE15)),AE15))</f>
        <v>10</v>
      </c>
      <c r="AG15" s="0" t="n">
        <f aca="false">IF($B15="","",IF(Challenges!$L$36=1,IF($B15=Challenges!$D$36,Challenges!$K$36,IF(AND(AF15&gt;=Challenges!$K$36,AF15&lt;Challenges!$J$36),AF15+1,AF15)),AF15))</f>
        <v>10</v>
      </c>
      <c r="AH15" s="0" t="n">
        <f aca="false">IF($B15="","",IF(Challenges!$L$37=1,IF($B15=Challenges!$D$37,Challenges!$K$37,IF(AND(AG15&gt;=Challenges!$K$37,AG15&lt;Challenges!$J$37),AG15+1,AG15)),AG15))</f>
        <v>10</v>
      </c>
      <c r="AI15" s="0" t="n">
        <f aca="false">IF($B15="","",IF(Challenges!$L$38=1,IF($B15=Challenges!$D$38,Challenges!$K$38,IF(AND(AH15&gt;=Challenges!$K$38,AH15&lt;Challenges!$J$38),AH15+1,AH15)),AH15))</f>
        <v>10</v>
      </c>
      <c r="AJ15" s="0" t="n">
        <f aca="false">IF($B15="","",IF(Challenges!$L$39=1,IF($B15=Challenges!$D$39,Challenges!$K$39,IF(AND(AI15&gt;=Challenges!$K$39,AI15&lt;Challenges!$J$39),AI15+1,AI15)),AI15))</f>
        <v>10</v>
      </c>
      <c r="AK15" s="0" t="n">
        <f aca="false">IF($B15="","",IF(Challenges!$L$40=1,IF($B15=Challenges!$D$40,Challenges!$K$40,IF(AND(AJ15&gt;=Challenges!$K$40,AJ15&lt;Challenges!$J$40),AJ15+1,AJ15)),AJ15))</f>
        <v>10</v>
      </c>
      <c r="AL15" s="0" t="n">
        <f aca="false">IF($B15="","",IF(Challenges!$L$41=1,IF($B15=Challenges!$D$41,Challenges!$K$41,IF(AND(AK15&gt;=Challenges!$K$41,AK15&lt;Challenges!$J$41),AK15+1,AK15)),AK15))</f>
        <v>10</v>
      </c>
      <c r="AM15" s="0" t="n">
        <f aca="false">IF($B15="","",IF(Challenges!$L$42=1,IF($B15=Challenges!$D$42,Challenges!$K$42,IF(AND(AL15&gt;=Challenges!$K$42,AL15&lt;Challenges!$J$42),AL15+1,AL15)),AL15))</f>
        <v>10</v>
      </c>
      <c r="AN15" s="0" t="n">
        <f aca="false">IF($B15="","",IF(Challenges!$L$43=1,IF($B15=Challenges!$D$43,Challenges!$K$43,IF(AND(AM15&gt;=Challenges!$K$43,AM15&lt;Challenges!$J$43),AM15+1,AM15)),AM15))</f>
        <v>10</v>
      </c>
      <c r="AO15" s="0" t="n">
        <f aca="false">IF($B15="","",IF(Challenges!$L$44=1,IF($B15=Challenges!$D$44,Challenges!$K$44,IF(AND(AN15&gt;=Challenges!$K$44,AN15&lt;Challenges!$J$44),AN15+1,AN15)),AN15))</f>
        <v>10</v>
      </c>
      <c r="AP15" s="0" t="n">
        <f aca="false">IF($B15="","",IF(Challenges!$L$45=1,IF($B15=Challenges!$D$45,Challenges!$K$45,IF(AND(AO15&gt;=Challenges!$K$45,AO15&lt;Challenges!$J$45),AO15+1,AO15)),AO15))</f>
        <v>10</v>
      </c>
      <c r="AQ15" s="0" t="n">
        <f aca="false">IF($B15="","",IF(Challenges!$L$46=1,IF($B15=Challenges!$D$46,Challenges!$K$46,IF(AND(AP15&gt;=Challenges!$K$46,AP15&lt;Challenges!$J$46),AP15+1,AP15)),AP15))</f>
        <v>10</v>
      </c>
      <c r="AR15" s="0" t="n">
        <f aca="false">IF($B15="","",IF(Challenges!$L$47=1,IF($B15=Challenges!$D$47,Challenges!$K$47,IF(AND(AQ15&gt;=Challenges!$K$47,AQ15&lt;Challenges!$J$47),AQ15+1,AQ15)),AQ15))</f>
        <v>10</v>
      </c>
      <c r="AS15" s="0" t="n">
        <f aca="false">IF($B15="","",IF(Challenges!$L$48=1,IF($B15=Challenges!$D$48,Challenges!$K$48,IF(AND(AR15&gt;=Challenges!$K$48,AR15&lt;Challenges!$J$48),AR15+1,AR15)),AR15))</f>
        <v>10</v>
      </c>
      <c r="AT15" s="0" t="n">
        <f aca="false">IF($B15="","",IF(Challenges!$L$49=1,IF($B15=Challenges!$D$49,Challenges!$K$49,IF(AND(AS15&gt;=Challenges!$K$49,AS15&lt;Challenges!$J$49),AS15+1,AS15)),AS15))</f>
        <v>10</v>
      </c>
      <c r="AU15" s="0" t="n">
        <f aca="false">IF($B15="","",IF(Challenges!$L$50=1,IF($B15=Challenges!$D$50,Challenges!$K$50,IF(AND(AT15&gt;=Challenges!$K$50,AT15&lt;Challenges!$J$50),AT15+1,AT15)),AT15))</f>
        <v>10</v>
      </c>
      <c r="AV15" s="0" t="n">
        <f aca="false">IF($B15="","",IF(Challenges!$L$51=1,IF($B15=Challenges!$D$51,Challenges!$K$51,IF(AND(AU15&gt;=Challenges!$K$51,AU15&lt;Challenges!$J$51),AU15+1,AU15)),AU15))</f>
        <v>10</v>
      </c>
      <c r="AW15" s="0" t="n">
        <f aca="false">IF($B15="","",IF(Challenges!$L$52=1,IF($B15=Challenges!$D$52,Challenges!$K$52,IF(AND(AV15&gt;=Challenges!$K$52,AV15&lt;Challenges!$J$52),AV15+1,AV15)),AV15))</f>
        <v>10</v>
      </c>
      <c r="AX15" s="0" t="n">
        <f aca="false">IF($B15="","",IF(Challenges!$L$53=1,IF($B15=Challenges!$D$53,Challenges!$K$53,IF(AND(AW15&gt;=Challenges!$K$53,AW15&lt;Challenges!$J$53),AW15+1,AW15)),AW15))</f>
        <v>10</v>
      </c>
      <c r="AY15" s="0" t="n">
        <f aca="false">IF($B15="","",IF(Challenges!$L$54=1,IF($B15=Challenges!$D$54,Challenges!$K$54,IF(AND(AX15&gt;=Challenges!$K$54,AX15&lt;Challenges!$J$54),AX15+1,AX15)),AX15))</f>
        <v>10</v>
      </c>
      <c r="AZ15" s="0" t="n">
        <f aca="false">IF($B15="","",IF(Challenges!$L$55=1,IF($B15=Challenges!$D$55,Challenges!$K$55,IF(AND(AY15&gt;=Challenges!$K$55,AY15&lt;Challenges!$J$55),AY15+1,AY15)),AY15))</f>
        <v>10</v>
      </c>
      <c r="BA15" s="0" t="n">
        <f aca="false">IF($B15="","",IF(Challenges!$L$56=1,IF($B15=Challenges!$D$56,Challenges!$K$56,IF(AND(AZ15&gt;=Challenges!$K$56,AZ15&lt;Challenges!$J$56),AZ15+1,AZ15)),AZ15))</f>
        <v>10</v>
      </c>
      <c r="BB15" s="0" t="n">
        <f aca="false">IF($B15="","",IF(Challenges!$L$57=1,IF($B15=Challenges!$D$57,Challenges!$K$57,IF(AND(BA15&gt;=Challenges!$K$57,BA15&lt;Challenges!$J$57),BA15+1,BA15)),BA15))</f>
        <v>10</v>
      </c>
      <c r="BC15" s="0" t="n">
        <f aca="false">IF($B15="","",IF(Challenges!$L$58=1,IF($B15=Challenges!$D$58,Challenges!$K$58,IF(AND(BB15&gt;=Challenges!$K$58,BB15&lt;Challenges!$J$58),BB15+1,BB15)),BB15))</f>
        <v>10</v>
      </c>
      <c r="BD15" s="0" t="n">
        <f aca="false">IF($B15="","",IF(Challenges!$L$59=1,IF($B15=Challenges!$D$59,Challenges!$K$59,IF(AND(BC15&gt;=Challenges!$K$59,BC15&lt;Challenges!$J$59),BC15+1,BC15)),BC15))</f>
        <v>10</v>
      </c>
      <c r="BE15" s="0" t="n">
        <f aca="false">IF($B15="","",IF(Challenges!$L$60=1,IF($B15=Challenges!$D$60,Challenges!$K$60,IF(AND(BD15&gt;=Challenges!$K$60,BD15&lt;Challenges!$J$60),BD15+1,BD15)),BD15))</f>
        <v>10</v>
      </c>
      <c r="BF15" s="0" t="n">
        <f aca="false">IF($B15="","",IF(Challenges!$L$61=1,IF($B15=Challenges!$D$61,Challenges!$K$61,IF(AND(BE15&gt;=Challenges!$K$61,BE15&lt;Challenges!$J$61),BE15+1,BE15)),BE15))</f>
        <v>10</v>
      </c>
      <c r="BG15" s="0" t="n">
        <f aca="false">IF($B15="","",IF(Challenges!$L$62=1,IF($B15=Challenges!$D$62,Challenges!$K$62,IF(AND(BF15&gt;=Challenges!$K$62,BF15&lt;Challenges!$J$62),BF15+1,BF15)),BF15))</f>
        <v>10</v>
      </c>
      <c r="BH15" s="0" t="n">
        <f aca="false">IF($B15="","",IF(Challenges!$L$63=1,IF($B15=Challenges!$D$63,Challenges!$K$63,IF(AND(BG15&gt;=Challenges!$K$63,BG15&lt;Challenges!$J$63),BG15+1,BG15)),BG15))</f>
        <v>10</v>
      </c>
      <c r="BI15" s="0" t="n">
        <f aca="false">IF($B15="","",IF(Challenges!$L$64=1,IF($B15=Challenges!$D$64,Challenges!$K$64,IF(AND(BH15&gt;=Challenges!$K$64,BH15&lt;Challenges!$J$64),BH15+1,BH15)),BH15))</f>
        <v>10</v>
      </c>
      <c r="BJ15" s="0" t="n">
        <f aca="false">IF($B15="","",IF(Challenges!$L$65=1,IF($B15=Challenges!$D$65,Challenges!$K$65,IF(AND(BI15&gt;=Challenges!$K$65,BI15&lt;Challenges!$J$65),BI15+1,BI15)),BI15))</f>
        <v>10</v>
      </c>
      <c r="BK15" s="0" t="n">
        <f aca="false">IF($B15="","",IF(Challenges!$L$66=1,IF($B15=Challenges!$D$66,Challenges!$K$66,IF(AND(BJ15&gt;=Challenges!$K$66,BJ15&lt;Challenges!$J$66),BJ15+1,BJ15)),BJ15))</f>
        <v>10</v>
      </c>
      <c r="BL15" s="0" t="n">
        <f aca="false">IF($B15="","",IF(Challenges!$L$67=1,IF($B15=Challenges!$D$67,Challenges!$K$67,IF(AND(BK15&gt;=Challenges!$K$67,BK15&lt;Challenges!$J$67),BK15+1,BK15)),BK15))</f>
        <v>10</v>
      </c>
      <c r="BM15" s="0" t="n">
        <f aca="false">IF($B15="","",IF(Challenges!$L$68=1,IF($B15=Challenges!$D$68,Challenges!$K$68,IF(AND(BL15&gt;=Challenges!$K$68,BL15&lt;Challenges!$J$68),BL15+1,BL15)),BL15))</f>
        <v>10</v>
      </c>
      <c r="BN15" s="0" t="n">
        <f aca="false">IF($B15="","",IF(Challenges!$L$69=1,IF($B15=Challenges!$D$69,Challenges!$K$69,IF(AND(BM15&gt;=Challenges!$K$69,BM15&lt;Challenges!$J$69),BM15+1,BM15)),BM15))</f>
        <v>10</v>
      </c>
      <c r="BO15" s="0" t="n">
        <f aca="false">IF($B15="","",IF(Challenges!$L$70=1,IF($B15=Challenges!$D$70,Challenges!$K$70,IF(AND(BN15&gt;=Challenges!$K$70,BN15&lt;Challenges!$J$70),BN15+1,BN15)),BN15))</f>
        <v>10</v>
      </c>
      <c r="BP15" s="0" t="n">
        <f aca="false">IF($B15="","",IF(Challenges!$L$71=1,IF($B15=Challenges!$D$71,Challenges!$K$71,IF(AND(BO15&gt;=Challenges!$K$71,BO15&lt;Challenges!$J$71),BO15+1,BO15)),BO15))</f>
        <v>10</v>
      </c>
      <c r="BQ15" s="0" t="n">
        <f aca="false">IF($B15="","",IF(Challenges!$L$72=1,IF($B15=Challenges!$D$72,Challenges!$K$72,IF(AND(BP15&gt;=Challenges!$K$72,BP15&lt;Challenges!$J$72),BP15+1,BP15)),BP15))</f>
        <v>10</v>
      </c>
      <c r="BR15" s="0" t="n">
        <f aca="false">IF($B15="","",IF(Challenges!$L$73=1,IF($B15=Challenges!$D$73,Challenges!$K$73,IF(AND(BQ15&gt;=Challenges!$K$73,BQ15&lt;Challenges!$J$73),BQ15+1,BQ15)),BQ15))</f>
        <v>10</v>
      </c>
      <c r="BS15" s="0" t="n">
        <f aca="false">IF($B15="","",IF(Challenges!$L$74=1,IF($B15=Challenges!$D$74,Challenges!$K$74,IF(AND(BR15&gt;=Challenges!$K$74,BR15&lt;Challenges!$J$74),BR15+1,BR15)),BR15))</f>
        <v>10</v>
      </c>
      <c r="BT15" s="0" t="n">
        <f aca="false">IF($B15="","",IF(Challenges!$L$75=1,IF($B15=Challenges!$D$75,Challenges!$K$75,IF(AND(BS15&gt;=Challenges!$K$75,BS15&lt;Challenges!$J$75),BS15+1,BS15)),BS15))</f>
        <v>10</v>
      </c>
      <c r="BU15" s="0" t="n">
        <f aca="false">IF($B15="","",IF(Challenges!$L$76=1,IF($B15=Challenges!$D$76,Challenges!$K$76,IF(AND(BT15&gt;=Challenges!$K$76,BT15&lt;Challenges!$J$76),BT15+1,BT15)),BT15))</f>
        <v>10</v>
      </c>
      <c r="BV15" s="0" t="n">
        <f aca="false">IF($B15="","",IF(Challenges!$L$77=1,IF($B15=Challenges!$D$77,Challenges!$K$77,IF(AND(BU15&gt;=Challenges!$K$77,BU15&lt;Challenges!$J$77),BU15+1,BU15)),BU15))</f>
        <v>10</v>
      </c>
      <c r="BW15" s="0" t="n">
        <f aca="false">IF($B15="","",IF(Challenges!$L$78=1,IF($B15=Challenges!$D$78,Challenges!$K$78,IF(AND(BV15&gt;=Challenges!$K$78,BV15&lt;Challenges!$J$78),BV15+1,BV15)),BV15))</f>
        <v>10</v>
      </c>
      <c r="BX15" s="0" t="n">
        <f aca="false">IF($B15="","",IF(Challenges!$L$79=1,IF($B15=Challenges!$D$79,Challenges!$K$79,IF(AND(BW15&gt;=Challenges!$K$79,BW15&lt;Challenges!$J$79),BW15+1,BW15)),BW15))</f>
        <v>10</v>
      </c>
      <c r="BY15" s="0" t="n">
        <f aca="false">IF($B15="","",IF(Challenges!$L$80=1,IF($B15=Challenges!$D$80,Challenges!$K$80,IF(AND(BX15&gt;=Challenges!$K$80,BX15&lt;Challenges!$J$80),BX15+1,BX15)),BX15))</f>
        <v>10</v>
      </c>
      <c r="BZ15" s="0" t="n">
        <f aca="false">IF($B15="","",IF(Challenges!$L$81=1,IF($B15=Challenges!$D$81,Challenges!$K$81,IF(AND(BY15&gt;=Challenges!$K$81,BY15&lt;Challenges!$J$81),BY15+1,BY15)),BY15))</f>
        <v>10</v>
      </c>
      <c r="CA15" s="0" t="n">
        <f aca="false">IF($B15="","",IF(Challenges!$L$82=1,IF($B15=Challenges!$D$82,Challenges!$K$82,IF(AND(BZ15&gt;=Challenges!$K$82,BZ15&lt;Challenges!$J$82),BZ15+1,BZ15)),BZ15))</f>
        <v>10</v>
      </c>
      <c r="CB15" s="0" t="n">
        <f aca="false">IF($B15="","",IF(Challenges!$L$83=1,IF($B15=Challenges!$D$83,Challenges!$K$83,IF(AND(CA15&gt;=Challenges!$K$83,CA15&lt;Challenges!$J$83),CA15+1,CA15)),CA15))</f>
        <v>10</v>
      </c>
      <c r="CC15" s="0" t="n">
        <f aca="false">IF($B15="","",IF(Challenges!$L$84=1,IF($B15=Challenges!$D$84,Challenges!$K$84,IF(AND(CB15&gt;=Challenges!$K$84,CB15&lt;Challenges!$J$84),CB15+1,CB15)),CB15))</f>
        <v>10</v>
      </c>
      <c r="CD15" s="0" t="n">
        <f aca="false">IF($B15="","",IF(Challenges!$L$85=1,IF($B15=Challenges!$D$85,Challenges!$K$85,IF(AND(CC15&gt;=Challenges!$K$85,CC15&lt;Challenges!$J$85),CC15+1,CC15)),CC15))</f>
        <v>10</v>
      </c>
      <c r="CE15" s="0" t="n">
        <f aca="false">IF($B15="","",IF(Challenges!$L$86=1,IF($B15=Challenges!$D$86,Challenges!$K$86,IF(AND(CD15&gt;=Challenges!$K$86,CD15&lt;Challenges!$J$86),CD15+1,CD15)),CD15))</f>
        <v>10</v>
      </c>
      <c r="CF15" s="0" t="n">
        <f aca="false">IF($B15="","",IF(Challenges!$L$87=1,IF($B15=Challenges!$D$87,Challenges!$K$87,IF(AND(CE15&gt;=Challenges!$K$87,CE15&lt;Challenges!$J$87),CE15+1,CE15)),CE15))</f>
        <v>10</v>
      </c>
      <c r="CG15" s="0" t="n">
        <f aca="false">IF($B15="","",IF(Challenges!$L$88=1,IF($B15=Challenges!$D$88,Challenges!$K$88,IF(AND(CF15&gt;=Challenges!$K$88,CF15&lt;Challenges!$J$88),CF15+1,CF15)),CF15))</f>
        <v>10</v>
      </c>
      <c r="CH15" s="0" t="n">
        <f aca="false">IF($B15="","",IF(Challenges!$L$89=1,IF($B15=Challenges!$D$89,Challenges!$K$89,IF(AND(CG15&gt;=Challenges!$K$89,CG15&lt;Challenges!$J$89),CG15+1,CG15)),CG15))</f>
        <v>10</v>
      </c>
      <c r="CI15" s="0" t="n">
        <f aca="false">IF($B15="","",IF(Challenges!$L$90=1,IF($B15=Challenges!$D$90,Challenges!$K$90,IF(AND(CH15&gt;=Challenges!$K$90,CH15&lt;Challenges!$J$90),CH15+1,CH15)),CH15))</f>
        <v>10</v>
      </c>
      <c r="CJ15" s="0" t="n">
        <f aca="false">IF($B15="","",IF(Challenges!$L$91=1,IF($B15=Challenges!$D$91,Challenges!$K$91,IF(AND(CI15&gt;=Challenges!$K$91,CI15&lt;Challenges!$J$91),CI15+1,CI15)),CI15))</f>
        <v>10</v>
      </c>
      <c r="CK15" s="0" t="n">
        <f aca="false">IF($B15="","",IF(Challenges!$L$92=1,IF($B15=Challenges!$D$92,Challenges!$K$92,IF(AND(CJ15&gt;=Challenges!$K$92,CJ15&lt;Challenges!$J$92),CJ15+1,CJ15)),CJ15))</f>
        <v>10</v>
      </c>
      <c r="CL15" s="0" t="n">
        <f aca="false">IF($B15="","",IF(Challenges!$L$93=1,IF($B15=Challenges!$D$93,Challenges!$K$93,IF(AND(CK15&gt;=Challenges!$K$93,CK15&lt;Challenges!$J$93),CK15+1,CK15)),CK15))</f>
        <v>10</v>
      </c>
      <c r="CM15" s="0" t="n">
        <f aca="false">IF($B15="","",IF(Challenges!$L$94=1,IF($B15=Challenges!$D$94,Challenges!$K$94,IF(AND(CL15&gt;=Challenges!$K$94,CL15&lt;Challenges!$J$94),CL15+1,CL15)),CL15))</f>
        <v>10</v>
      </c>
      <c r="CN15" s="0" t="n">
        <f aca="false">IF($B15="","",IF(Challenges!$L$95=1,IF($B15=Challenges!$D$95,Challenges!$K$95,IF(AND(CM15&gt;=Challenges!$K$95,CM15&lt;Challenges!$J$95),CM15+1,CM15)),CM15))</f>
        <v>10</v>
      </c>
      <c r="CO15" s="0" t="n">
        <f aca="false">IF($B15="","",IF(Challenges!$L$96=1,IF($B15=Challenges!$D$96,Challenges!$K$96,IF(AND(CN15&gt;=Challenges!$K$96,CN15&lt;Challenges!$J$96),CN15+1,CN15)),CN15))</f>
        <v>10</v>
      </c>
      <c r="CP15" s="0" t="n">
        <f aca="false">IF($B15="","",IF(Challenges!$L$97=1,IF($B15=Challenges!$D$97,Challenges!$K$97,IF(AND(CO15&gt;=Challenges!$K$97,CO15&lt;Challenges!$J$97),CO15+1,CO15)),CO15))</f>
        <v>10</v>
      </c>
      <c r="CQ15" s="0" t="n">
        <f aca="false">IF($B15="","",IF(Challenges!$L$98=1,IF($B15=Challenges!$D$98,Challenges!$K$98,IF(AND(CP15&gt;=Challenges!$K$98,CP15&lt;Challenges!$J$98),CP15+1,CP15)),CP15))</f>
        <v>10</v>
      </c>
      <c r="CR15" s="0" t="n">
        <f aca="false">IF($B15="","",IF(Challenges!$L$99=1,IF($B15=Challenges!$D$99,Challenges!$K$99,IF(AND(CQ15&gt;=Challenges!$K$99,CQ15&lt;Challenges!$J$99),CQ15+1,CQ15)),CQ15))</f>
        <v>10</v>
      </c>
      <c r="CS15" s="0" t="n">
        <f aca="false">IF($B15="","",IF(Challenges!$L$100=1,IF($B15=Challenges!$D$100,Challenges!$K$100,IF(AND(CR15&gt;=Challenges!$K$100,CR15&lt;Challenges!$J$100),CR15+1,CR15)),CR15))</f>
        <v>10</v>
      </c>
      <c r="CT15" s="0" t="n">
        <f aca="false">IF($B15="","",IF(Challenges!$L$101=1,IF($B15=Challenges!$D$101,Challenges!$K$101,IF(AND(CS15&gt;=Challenges!$K$101,CS15&lt;Challenges!$J$101),CS15+1,CS15)),CS15))</f>
        <v>10</v>
      </c>
      <c r="CU15" s="0" t="n">
        <f aca="false">IF($B15="","",IF(Challenges!$L$102=1,IF($B15=Challenges!$D$102,Challenges!$K$102,IF(AND(CT15&gt;=Challenges!$K$102,CT15&lt;Challenges!$J$102),CT15+1,CT15)),CT15))</f>
        <v>10</v>
      </c>
      <c r="CV15" s="0" t="n">
        <f aca="false">IF($B15="","",IF(Challenges!$L$103=1,IF($B15=Challenges!$D$103,Challenges!$K$103,IF(AND(CU15&gt;=Challenges!$K$103,CU15&lt;Challenges!$J$103),CU15+1,CU15)),CU15))</f>
        <v>10</v>
      </c>
      <c r="CW15" s="0" t="n">
        <f aca="false">IF($B15="","",IF(Challenges!$L$104=1,IF($B15=Challenges!$D$104,Challenges!$K$104,IF(AND(CV15&gt;=Challenges!$K$104,CV15&lt;Challenges!$J$104),CV15+1,CV15)),CV15))</f>
        <v>10</v>
      </c>
      <c r="CX15" s="0" t="n">
        <f aca="false">IF($B15="","",IF(Challenges!$L$105=1,IF($B15=Challenges!$D$105,Challenges!$K$105,IF(AND(CW15&gt;=Challenges!$K$105,CW15&lt;Challenges!$J$105),CW15+1,CW15)),CW15))</f>
        <v>10</v>
      </c>
      <c r="CY15" s="0" t="n">
        <f aca="false">IF($B15="","",IF(Challenges!$L$106=1,IF($B15=Challenges!$D$106,Challenges!$K$106,IF(AND(CX15&gt;=Challenges!$K$106,CX15&lt;Challenges!$J$106),CX15+1,CX15)),CX15))</f>
        <v>10</v>
      </c>
    </row>
    <row r="16" customFormat="false" ht="15" hidden="false" customHeight="false" outlineLevel="0" collapsed="false">
      <c r="B16" s="0" t="str">
        <f aca="false">IF(Ladder!$C16="","",Ladder!$C16)</f>
        <v>Oscar</v>
      </c>
      <c r="C16" s="0" t="n">
        <f aca="false">IF($B16="","",ROW()-6)</f>
        <v>10</v>
      </c>
      <c r="D16" s="0" t="n">
        <f aca="false">IF($B16="","",IF(Challenges!$L$7=1,IF($B16=Challenges!$D$7,Challenges!$K$7,IF(AND(C16&gt;=Challenges!$K$7,C16&lt;Challenges!$J$7),C16+1,C16)),C16))</f>
        <v>10</v>
      </c>
      <c r="E16" s="0" t="n">
        <f aca="false">IF($B16="","",IF(Challenges!$L$8=1,IF($B16=Challenges!$D$8,Challenges!$K$8,IF(AND(D16&gt;=Challenges!$K$8,D16&lt;Challenges!$J$8),D16+1,D16)),D16))</f>
        <v>10</v>
      </c>
      <c r="F16" s="0" t="n">
        <f aca="false">IF($B16="","",IF(Challenges!$L$9=1,IF($B16=Challenges!$D$9,Challenges!$K$9,IF(AND(E16&gt;=Challenges!$K$9,E16&lt;Challenges!$J$9),E16+1,E16)),E16))</f>
        <v>6</v>
      </c>
      <c r="G16" s="0" t="n">
        <f aca="false">IF($B16="","",IF(Challenges!$L$10=1,IF($B16=Challenges!$D$10,Challenges!$K$10,IF(AND(F16&gt;=Challenges!$K$10,F16&lt;Challenges!$J$10),F16+1,F16)),F16))</f>
        <v>6</v>
      </c>
      <c r="H16" s="0" t="n">
        <f aca="false">IF($B16="","",IF(Challenges!$L$11=1,IF($B16=Challenges!$D$11,Challenges!$K$11,IF(AND(G16&gt;=Challenges!$K$11,G16&lt;Challenges!$J$11),G16+1,G16)),G16))</f>
        <v>6</v>
      </c>
      <c r="I16" s="0" t="n">
        <f aca="false">IF($B16="","",IF(Challenges!$L$12=1,IF($B16=Challenges!$D$12,Challenges!$K$12,IF(AND(H16&gt;=Challenges!$K$12,H16&lt;Challenges!$J$12),H16+1,H16)),H16))</f>
        <v>6</v>
      </c>
      <c r="J16" s="0" t="n">
        <f aca="false">IF($B16="","",IF(Challenges!$L$13=1,IF($B16=Challenges!$D$13,Challenges!$K$13,IF(AND(I16&gt;=Challenges!$K$13,I16&lt;Challenges!$J$13),I16+1,I16)),I16))</f>
        <v>6</v>
      </c>
      <c r="K16" s="0" t="n">
        <f aca="false">IF($B16="","",IF(Challenges!$L$14=1,IF($B16=Challenges!$D$14,Challenges!$K$14,IF(AND(J16&gt;=Challenges!$K$14,J16&lt;Challenges!$J$14),J16+1,J16)),J16))</f>
        <v>6</v>
      </c>
      <c r="L16" s="0" t="n">
        <f aca="false">IF($B16="","",IF(Challenges!$L$15=1,IF($B16=Challenges!$D$15,Challenges!$K$15,IF(AND(K16&gt;=Challenges!$K$15,K16&lt;Challenges!$J$15),K16+1,K16)),K16))</f>
        <v>6</v>
      </c>
      <c r="M16" s="0" t="n">
        <f aca="false">IF($B16="","",IF(Challenges!$L$16=1,IF($B16=Challenges!$D$16,Challenges!$K$16,IF(AND(L16&gt;=Challenges!$K$16,L16&lt;Challenges!$J$16),L16+1,L16)),L16))</f>
        <v>6</v>
      </c>
      <c r="N16" s="0" t="n">
        <f aca="false">IF($B16="","",IF(Challenges!$L$17=1,IF($B16=Challenges!$D$17,Challenges!$K$17,IF(AND(M16&gt;=Challenges!$K$17,M16&lt;Challenges!$J$17),M16+1,M16)),M16))</f>
        <v>6</v>
      </c>
      <c r="O16" s="0" t="n">
        <f aca="false">IF($B16="","",IF(Challenges!$L$18=1,IF($B16=Challenges!$D$18,Challenges!$K$18,IF(AND(N16&gt;=Challenges!$K$18,N16&lt;Challenges!$J$18),N16+1,N16)),N16))</f>
        <v>6</v>
      </c>
      <c r="P16" s="0" t="n">
        <f aca="false">IF($B16="","",IF(Challenges!$L$19=1,IF($B16=Challenges!$D$19,Challenges!$K$19,IF(AND(O16&gt;=Challenges!$K$19,O16&lt;Challenges!$J$19),O16+1,O16)),O16))</f>
        <v>6</v>
      </c>
      <c r="Q16" s="0" t="n">
        <f aca="false">IF($B16="","",IF(Challenges!$L$20=1,IF($B16=Challenges!$D$20,Challenges!$K$20,IF(AND(P16&gt;=Challenges!$K$20,P16&lt;Challenges!$J$20),P16+1,P16)),P16))</f>
        <v>6</v>
      </c>
      <c r="R16" s="0" t="n">
        <f aca="false">IF($B16="","",IF(Challenges!$L$21=1,IF($B16=Challenges!$D$21,Challenges!$K$21,IF(AND(Q16&gt;=Challenges!$K$21,Q16&lt;Challenges!$J$21),Q16+1,Q16)),Q16))</f>
        <v>6</v>
      </c>
      <c r="S16" s="0" t="n">
        <f aca="false">IF($B16="","",IF(Challenges!$L$22=1,IF($B16=Challenges!$D$22,Challenges!$K$22,IF(AND(R16&gt;=Challenges!$K$22,R16&lt;Challenges!$J$22),R16+1,R16)),R16))</f>
        <v>6</v>
      </c>
      <c r="T16" s="0" t="n">
        <f aca="false">IF($B16="","",IF(Challenges!$L$23=1,IF($B16=Challenges!$D$23,Challenges!$K$23,IF(AND(S16&gt;=Challenges!$K$23,S16&lt;Challenges!$J$23),S16+1,S16)),S16))</f>
        <v>6</v>
      </c>
      <c r="U16" s="0" t="n">
        <f aca="false">IF($B16="","",IF(Challenges!$L$24=1,IF($B16=Challenges!$D$24,Challenges!$K$24,IF(AND(T16&gt;=Challenges!$K$24,T16&lt;Challenges!$J$24),T16+1,T16)),T16))</f>
        <v>6</v>
      </c>
      <c r="V16" s="0" t="n">
        <f aca="false">IF($B16="","",IF(Challenges!$L$25=1,IF($B16=Challenges!$D$25,Challenges!$K$25,IF(AND(U16&gt;=Challenges!$K$25,U16&lt;Challenges!$J$25),U16+1,U16)),U16))</f>
        <v>6</v>
      </c>
      <c r="W16" s="0" t="n">
        <f aca="false">IF($B16="","",IF(Challenges!$L$26=1,IF($B16=Challenges!$D$26,Challenges!$K$26,IF(AND(V16&gt;=Challenges!$K$26,V16&lt;Challenges!$J$26),V16+1,V16)),V16))</f>
        <v>6</v>
      </c>
      <c r="X16" s="0" t="n">
        <f aca="false">IF($B16="","",IF(Challenges!$L$27=1,IF($B16=Challenges!$D$27,Challenges!$K$27,IF(AND(W16&gt;=Challenges!$K$27,W16&lt;Challenges!$J$27),W16+1,W16)),W16))</f>
        <v>6</v>
      </c>
      <c r="Y16" s="0" t="n">
        <f aca="false">IF($B16="","",IF(Challenges!$L$28=1,IF($B16=Challenges!$D$28,Challenges!$K$28,IF(AND(X16&gt;=Challenges!$K$28,X16&lt;Challenges!$J$28),X16+1,X16)),X16))</f>
        <v>6</v>
      </c>
      <c r="Z16" s="0" t="n">
        <f aca="false">IF($B16="","",IF(Challenges!$L$29=1,IF($B16=Challenges!$D$29,Challenges!$K$29,IF(AND(Y16&gt;=Challenges!$K$29,Y16&lt;Challenges!$J$29),Y16+1,Y16)),Y16))</f>
        <v>6</v>
      </c>
      <c r="AA16" s="0" t="n">
        <f aca="false">IF($B16="","",IF(Challenges!$L$30=1,IF($B16=Challenges!$D$30,Challenges!$K$30,IF(AND(Z16&gt;=Challenges!$K$30,Z16&lt;Challenges!$J$30),Z16+1,Z16)),Z16))</f>
        <v>6</v>
      </c>
      <c r="AB16" s="0" t="n">
        <f aca="false">IF($B16="","",IF(Challenges!$L$31=1,IF($B16=Challenges!$D$31,Challenges!$K$31,IF(AND(AA16&gt;=Challenges!$K$31,AA16&lt;Challenges!$J$31),AA16+1,AA16)),AA16))</f>
        <v>6</v>
      </c>
      <c r="AC16" s="0" t="n">
        <f aca="false">IF($B16="","",IF(Challenges!$L$32=1,IF($B16=Challenges!$D$32,Challenges!$K$32,IF(AND(AB16&gt;=Challenges!$K$32,AB16&lt;Challenges!$J$32),AB16+1,AB16)),AB16))</f>
        <v>6</v>
      </c>
      <c r="AD16" s="0" t="n">
        <f aca="false">IF($B16="","",IF(Challenges!$L$33=1,IF($B16=Challenges!$D$33,Challenges!$K$33,IF(AND(AC16&gt;=Challenges!$K$33,AC16&lt;Challenges!$J$33),AC16+1,AC16)),AC16))</f>
        <v>6</v>
      </c>
      <c r="AE16" s="0" t="n">
        <f aca="false">IF($B16="","",IF(Challenges!$L$34=1,IF($B16=Challenges!$D$34,Challenges!$K$34,IF(AND(AD16&gt;=Challenges!$K$34,AD16&lt;Challenges!$J$34),AD16+1,AD16)),AD16))</f>
        <v>6</v>
      </c>
      <c r="AF16" s="0" t="n">
        <f aca="false">IF($B16="","",IF(Challenges!$L$35=1,IF($B16=Challenges!$D$35,Challenges!$K$35,IF(AND(AE16&gt;=Challenges!$K$35,AE16&lt;Challenges!$J$35),AE16+1,AE16)),AE16))</f>
        <v>6</v>
      </c>
      <c r="AG16" s="0" t="n">
        <f aca="false">IF($B16="","",IF(Challenges!$L$36=1,IF($B16=Challenges!$D$36,Challenges!$K$36,IF(AND(AF16&gt;=Challenges!$K$36,AF16&lt;Challenges!$J$36),AF16+1,AF16)),AF16))</f>
        <v>6</v>
      </c>
      <c r="AH16" s="0" t="n">
        <f aca="false">IF($B16="","",IF(Challenges!$L$37=1,IF($B16=Challenges!$D$37,Challenges!$K$37,IF(AND(AG16&gt;=Challenges!$K$37,AG16&lt;Challenges!$J$37),AG16+1,AG16)),AG16))</f>
        <v>6</v>
      </c>
      <c r="AI16" s="0" t="n">
        <f aca="false">IF($B16="","",IF(Challenges!$L$38=1,IF($B16=Challenges!$D$38,Challenges!$K$38,IF(AND(AH16&gt;=Challenges!$K$38,AH16&lt;Challenges!$J$38),AH16+1,AH16)),AH16))</f>
        <v>6</v>
      </c>
      <c r="AJ16" s="0" t="n">
        <f aca="false">IF($B16="","",IF(Challenges!$L$39=1,IF($B16=Challenges!$D$39,Challenges!$K$39,IF(AND(AI16&gt;=Challenges!$K$39,AI16&lt;Challenges!$J$39),AI16+1,AI16)),AI16))</f>
        <v>6</v>
      </c>
      <c r="AK16" s="0" t="n">
        <f aca="false">IF($B16="","",IF(Challenges!$L$40=1,IF($B16=Challenges!$D$40,Challenges!$K$40,IF(AND(AJ16&gt;=Challenges!$K$40,AJ16&lt;Challenges!$J$40),AJ16+1,AJ16)),AJ16))</f>
        <v>6</v>
      </c>
      <c r="AL16" s="0" t="n">
        <f aca="false">IF($B16="","",IF(Challenges!$L$41=1,IF($B16=Challenges!$D$41,Challenges!$K$41,IF(AND(AK16&gt;=Challenges!$K$41,AK16&lt;Challenges!$J$41),AK16+1,AK16)),AK16))</f>
        <v>6</v>
      </c>
      <c r="AM16" s="0" t="n">
        <f aca="false">IF($B16="","",IF(Challenges!$L$42=1,IF($B16=Challenges!$D$42,Challenges!$K$42,IF(AND(AL16&gt;=Challenges!$K$42,AL16&lt;Challenges!$J$42),AL16+1,AL16)),AL16))</f>
        <v>6</v>
      </c>
      <c r="AN16" s="0" t="n">
        <f aca="false">IF($B16="","",IF(Challenges!$L$43=1,IF($B16=Challenges!$D$43,Challenges!$K$43,IF(AND(AM16&gt;=Challenges!$K$43,AM16&lt;Challenges!$J$43),AM16+1,AM16)),AM16))</f>
        <v>6</v>
      </c>
      <c r="AO16" s="0" t="n">
        <f aca="false">IF($B16="","",IF(Challenges!$L$44=1,IF($B16=Challenges!$D$44,Challenges!$K$44,IF(AND(AN16&gt;=Challenges!$K$44,AN16&lt;Challenges!$J$44),AN16+1,AN16)),AN16))</f>
        <v>6</v>
      </c>
      <c r="AP16" s="0" t="n">
        <f aca="false">IF($B16="","",IF(Challenges!$L$45=1,IF($B16=Challenges!$D$45,Challenges!$K$45,IF(AND(AO16&gt;=Challenges!$K$45,AO16&lt;Challenges!$J$45),AO16+1,AO16)),AO16))</f>
        <v>6</v>
      </c>
      <c r="AQ16" s="0" t="n">
        <f aca="false">IF($B16="","",IF(Challenges!$L$46=1,IF($B16=Challenges!$D$46,Challenges!$K$46,IF(AND(AP16&gt;=Challenges!$K$46,AP16&lt;Challenges!$J$46),AP16+1,AP16)),AP16))</f>
        <v>6</v>
      </c>
      <c r="AR16" s="0" t="n">
        <f aca="false">IF($B16="","",IF(Challenges!$L$47=1,IF($B16=Challenges!$D$47,Challenges!$K$47,IF(AND(AQ16&gt;=Challenges!$K$47,AQ16&lt;Challenges!$J$47),AQ16+1,AQ16)),AQ16))</f>
        <v>6</v>
      </c>
      <c r="AS16" s="0" t="n">
        <f aca="false">IF($B16="","",IF(Challenges!$L$48=1,IF($B16=Challenges!$D$48,Challenges!$K$48,IF(AND(AR16&gt;=Challenges!$K$48,AR16&lt;Challenges!$J$48),AR16+1,AR16)),AR16))</f>
        <v>6</v>
      </c>
      <c r="AT16" s="0" t="n">
        <f aca="false">IF($B16="","",IF(Challenges!$L$49=1,IF($B16=Challenges!$D$49,Challenges!$K$49,IF(AND(AS16&gt;=Challenges!$K$49,AS16&lt;Challenges!$J$49),AS16+1,AS16)),AS16))</f>
        <v>6</v>
      </c>
      <c r="AU16" s="0" t="n">
        <f aca="false">IF($B16="","",IF(Challenges!$L$50=1,IF($B16=Challenges!$D$50,Challenges!$K$50,IF(AND(AT16&gt;=Challenges!$K$50,AT16&lt;Challenges!$J$50),AT16+1,AT16)),AT16))</f>
        <v>6</v>
      </c>
      <c r="AV16" s="0" t="n">
        <f aca="false">IF($B16="","",IF(Challenges!$L$51=1,IF($B16=Challenges!$D$51,Challenges!$K$51,IF(AND(AU16&gt;=Challenges!$K$51,AU16&lt;Challenges!$J$51),AU16+1,AU16)),AU16))</f>
        <v>6</v>
      </c>
      <c r="AW16" s="0" t="n">
        <f aca="false">IF($B16="","",IF(Challenges!$L$52=1,IF($B16=Challenges!$D$52,Challenges!$K$52,IF(AND(AV16&gt;=Challenges!$K$52,AV16&lt;Challenges!$J$52),AV16+1,AV16)),AV16))</f>
        <v>6</v>
      </c>
      <c r="AX16" s="0" t="n">
        <f aca="false">IF($B16="","",IF(Challenges!$L$53=1,IF($B16=Challenges!$D$53,Challenges!$K$53,IF(AND(AW16&gt;=Challenges!$K$53,AW16&lt;Challenges!$J$53),AW16+1,AW16)),AW16))</f>
        <v>6</v>
      </c>
      <c r="AY16" s="0" t="n">
        <f aca="false">IF($B16="","",IF(Challenges!$L$54=1,IF($B16=Challenges!$D$54,Challenges!$K$54,IF(AND(AX16&gt;=Challenges!$K$54,AX16&lt;Challenges!$J$54),AX16+1,AX16)),AX16))</f>
        <v>6</v>
      </c>
      <c r="AZ16" s="0" t="n">
        <f aca="false">IF($B16="","",IF(Challenges!$L$55=1,IF($B16=Challenges!$D$55,Challenges!$K$55,IF(AND(AY16&gt;=Challenges!$K$55,AY16&lt;Challenges!$J$55),AY16+1,AY16)),AY16))</f>
        <v>6</v>
      </c>
      <c r="BA16" s="0" t="n">
        <f aca="false">IF($B16="","",IF(Challenges!$L$56=1,IF($B16=Challenges!$D$56,Challenges!$K$56,IF(AND(AZ16&gt;=Challenges!$K$56,AZ16&lt;Challenges!$J$56),AZ16+1,AZ16)),AZ16))</f>
        <v>6</v>
      </c>
      <c r="BB16" s="0" t="n">
        <f aca="false">IF($B16="","",IF(Challenges!$L$57=1,IF($B16=Challenges!$D$57,Challenges!$K$57,IF(AND(BA16&gt;=Challenges!$K$57,BA16&lt;Challenges!$J$57),BA16+1,BA16)),BA16))</f>
        <v>6</v>
      </c>
      <c r="BC16" s="0" t="n">
        <f aca="false">IF($B16="","",IF(Challenges!$L$58=1,IF($B16=Challenges!$D$58,Challenges!$K$58,IF(AND(BB16&gt;=Challenges!$K$58,BB16&lt;Challenges!$J$58),BB16+1,BB16)),BB16))</f>
        <v>6</v>
      </c>
      <c r="BD16" s="0" t="n">
        <f aca="false">IF($B16="","",IF(Challenges!$L$59=1,IF($B16=Challenges!$D$59,Challenges!$K$59,IF(AND(BC16&gt;=Challenges!$K$59,BC16&lt;Challenges!$J$59),BC16+1,BC16)),BC16))</f>
        <v>6</v>
      </c>
      <c r="BE16" s="0" t="n">
        <f aca="false">IF($B16="","",IF(Challenges!$L$60=1,IF($B16=Challenges!$D$60,Challenges!$K$60,IF(AND(BD16&gt;=Challenges!$K$60,BD16&lt;Challenges!$J$60),BD16+1,BD16)),BD16))</f>
        <v>6</v>
      </c>
      <c r="BF16" s="0" t="n">
        <f aca="false">IF($B16="","",IF(Challenges!$L$61=1,IF($B16=Challenges!$D$61,Challenges!$K$61,IF(AND(BE16&gt;=Challenges!$K$61,BE16&lt;Challenges!$J$61),BE16+1,BE16)),BE16))</f>
        <v>6</v>
      </c>
      <c r="BG16" s="0" t="n">
        <f aca="false">IF($B16="","",IF(Challenges!$L$62=1,IF($B16=Challenges!$D$62,Challenges!$K$62,IF(AND(BF16&gt;=Challenges!$K$62,BF16&lt;Challenges!$J$62),BF16+1,BF16)),BF16))</f>
        <v>6</v>
      </c>
      <c r="BH16" s="0" t="n">
        <f aca="false">IF($B16="","",IF(Challenges!$L$63=1,IF($B16=Challenges!$D$63,Challenges!$K$63,IF(AND(BG16&gt;=Challenges!$K$63,BG16&lt;Challenges!$J$63),BG16+1,BG16)),BG16))</f>
        <v>6</v>
      </c>
      <c r="BI16" s="0" t="n">
        <f aca="false">IF($B16="","",IF(Challenges!$L$64=1,IF($B16=Challenges!$D$64,Challenges!$K$64,IF(AND(BH16&gt;=Challenges!$K$64,BH16&lt;Challenges!$J$64),BH16+1,BH16)),BH16))</f>
        <v>6</v>
      </c>
      <c r="BJ16" s="0" t="n">
        <f aca="false">IF($B16="","",IF(Challenges!$L$65=1,IF($B16=Challenges!$D$65,Challenges!$K$65,IF(AND(BI16&gt;=Challenges!$K$65,BI16&lt;Challenges!$J$65),BI16+1,BI16)),BI16))</f>
        <v>6</v>
      </c>
      <c r="BK16" s="0" t="n">
        <f aca="false">IF($B16="","",IF(Challenges!$L$66=1,IF($B16=Challenges!$D$66,Challenges!$K$66,IF(AND(BJ16&gt;=Challenges!$K$66,BJ16&lt;Challenges!$J$66),BJ16+1,BJ16)),BJ16))</f>
        <v>6</v>
      </c>
      <c r="BL16" s="0" t="n">
        <f aca="false">IF($B16="","",IF(Challenges!$L$67=1,IF($B16=Challenges!$D$67,Challenges!$K$67,IF(AND(BK16&gt;=Challenges!$K$67,BK16&lt;Challenges!$J$67),BK16+1,BK16)),BK16))</f>
        <v>6</v>
      </c>
      <c r="BM16" s="0" t="n">
        <f aca="false">IF($B16="","",IF(Challenges!$L$68=1,IF($B16=Challenges!$D$68,Challenges!$K$68,IF(AND(BL16&gt;=Challenges!$K$68,BL16&lt;Challenges!$J$68),BL16+1,BL16)),BL16))</f>
        <v>6</v>
      </c>
      <c r="BN16" s="0" t="n">
        <f aca="false">IF($B16="","",IF(Challenges!$L$69=1,IF($B16=Challenges!$D$69,Challenges!$K$69,IF(AND(BM16&gt;=Challenges!$K$69,BM16&lt;Challenges!$J$69),BM16+1,BM16)),BM16))</f>
        <v>6</v>
      </c>
      <c r="BO16" s="0" t="n">
        <f aca="false">IF($B16="","",IF(Challenges!$L$70=1,IF($B16=Challenges!$D$70,Challenges!$K$70,IF(AND(BN16&gt;=Challenges!$K$70,BN16&lt;Challenges!$J$70),BN16+1,BN16)),BN16))</f>
        <v>6</v>
      </c>
      <c r="BP16" s="0" t="n">
        <f aca="false">IF($B16="","",IF(Challenges!$L$71=1,IF($B16=Challenges!$D$71,Challenges!$K$71,IF(AND(BO16&gt;=Challenges!$K$71,BO16&lt;Challenges!$J$71),BO16+1,BO16)),BO16))</f>
        <v>6</v>
      </c>
      <c r="BQ16" s="0" t="n">
        <f aca="false">IF($B16="","",IF(Challenges!$L$72=1,IF($B16=Challenges!$D$72,Challenges!$K$72,IF(AND(BP16&gt;=Challenges!$K$72,BP16&lt;Challenges!$J$72),BP16+1,BP16)),BP16))</f>
        <v>6</v>
      </c>
      <c r="BR16" s="0" t="n">
        <f aca="false">IF($B16="","",IF(Challenges!$L$73=1,IF($B16=Challenges!$D$73,Challenges!$K$73,IF(AND(BQ16&gt;=Challenges!$K$73,BQ16&lt;Challenges!$J$73),BQ16+1,BQ16)),BQ16))</f>
        <v>6</v>
      </c>
      <c r="BS16" s="0" t="n">
        <f aca="false">IF($B16="","",IF(Challenges!$L$74=1,IF($B16=Challenges!$D$74,Challenges!$K$74,IF(AND(BR16&gt;=Challenges!$K$74,BR16&lt;Challenges!$J$74),BR16+1,BR16)),BR16))</f>
        <v>6</v>
      </c>
      <c r="BT16" s="0" t="n">
        <f aca="false">IF($B16="","",IF(Challenges!$L$75=1,IF($B16=Challenges!$D$75,Challenges!$K$75,IF(AND(BS16&gt;=Challenges!$K$75,BS16&lt;Challenges!$J$75),BS16+1,BS16)),BS16))</f>
        <v>6</v>
      </c>
      <c r="BU16" s="0" t="n">
        <f aca="false">IF($B16="","",IF(Challenges!$L$76=1,IF($B16=Challenges!$D$76,Challenges!$K$76,IF(AND(BT16&gt;=Challenges!$K$76,BT16&lt;Challenges!$J$76),BT16+1,BT16)),BT16))</f>
        <v>6</v>
      </c>
      <c r="BV16" s="0" t="n">
        <f aca="false">IF($B16="","",IF(Challenges!$L$77=1,IF($B16=Challenges!$D$77,Challenges!$K$77,IF(AND(BU16&gt;=Challenges!$K$77,BU16&lt;Challenges!$J$77),BU16+1,BU16)),BU16))</f>
        <v>6</v>
      </c>
      <c r="BW16" s="0" t="n">
        <f aca="false">IF($B16="","",IF(Challenges!$L$78=1,IF($B16=Challenges!$D$78,Challenges!$K$78,IF(AND(BV16&gt;=Challenges!$K$78,BV16&lt;Challenges!$J$78),BV16+1,BV16)),BV16))</f>
        <v>6</v>
      </c>
      <c r="BX16" s="0" t="n">
        <f aca="false">IF($B16="","",IF(Challenges!$L$79=1,IF($B16=Challenges!$D$79,Challenges!$K$79,IF(AND(BW16&gt;=Challenges!$K$79,BW16&lt;Challenges!$J$79),BW16+1,BW16)),BW16))</f>
        <v>6</v>
      </c>
      <c r="BY16" s="0" t="n">
        <f aca="false">IF($B16="","",IF(Challenges!$L$80=1,IF($B16=Challenges!$D$80,Challenges!$K$80,IF(AND(BX16&gt;=Challenges!$K$80,BX16&lt;Challenges!$J$80),BX16+1,BX16)),BX16))</f>
        <v>6</v>
      </c>
      <c r="BZ16" s="0" t="n">
        <f aca="false">IF($B16="","",IF(Challenges!$L$81=1,IF($B16=Challenges!$D$81,Challenges!$K$81,IF(AND(BY16&gt;=Challenges!$K$81,BY16&lt;Challenges!$J$81),BY16+1,BY16)),BY16))</f>
        <v>6</v>
      </c>
      <c r="CA16" s="0" t="n">
        <f aca="false">IF($B16="","",IF(Challenges!$L$82=1,IF($B16=Challenges!$D$82,Challenges!$K$82,IF(AND(BZ16&gt;=Challenges!$K$82,BZ16&lt;Challenges!$J$82),BZ16+1,BZ16)),BZ16))</f>
        <v>6</v>
      </c>
      <c r="CB16" s="0" t="n">
        <f aca="false">IF($B16="","",IF(Challenges!$L$83=1,IF($B16=Challenges!$D$83,Challenges!$K$83,IF(AND(CA16&gt;=Challenges!$K$83,CA16&lt;Challenges!$J$83),CA16+1,CA16)),CA16))</f>
        <v>6</v>
      </c>
      <c r="CC16" s="0" t="n">
        <f aca="false">IF($B16="","",IF(Challenges!$L$84=1,IF($B16=Challenges!$D$84,Challenges!$K$84,IF(AND(CB16&gt;=Challenges!$K$84,CB16&lt;Challenges!$J$84),CB16+1,CB16)),CB16))</f>
        <v>6</v>
      </c>
      <c r="CD16" s="0" t="n">
        <f aca="false">IF($B16="","",IF(Challenges!$L$85=1,IF($B16=Challenges!$D$85,Challenges!$K$85,IF(AND(CC16&gt;=Challenges!$K$85,CC16&lt;Challenges!$J$85),CC16+1,CC16)),CC16))</f>
        <v>6</v>
      </c>
      <c r="CE16" s="0" t="n">
        <f aca="false">IF($B16="","",IF(Challenges!$L$86=1,IF($B16=Challenges!$D$86,Challenges!$K$86,IF(AND(CD16&gt;=Challenges!$K$86,CD16&lt;Challenges!$J$86),CD16+1,CD16)),CD16))</f>
        <v>6</v>
      </c>
      <c r="CF16" s="0" t="n">
        <f aca="false">IF($B16="","",IF(Challenges!$L$87=1,IF($B16=Challenges!$D$87,Challenges!$K$87,IF(AND(CE16&gt;=Challenges!$K$87,CE16&lt;Challenges!$J$87),CE16+1,CE16)),CE16))</f>
        <v>6</v>
      </c>
      <c r="CG16" s="0" t="n">
        <f aca="false">IF($B16="","",IF(Challenges!$L$88=1,IF($B16=Challenges!$D$88,Challenges!$K$88,IF(AND(CF16&gt;=Challenges!$K$88,CF16&lt;Challenges!$J$88),CF16+1,CF16)),CF16))</f>
        <v>6</v>
      </c>
      <c r="CH16" s="0" t="n">
        <f aca="false">IF($B16="","",IF(Challenges!$L$89=1,IF($B16=Challenges!$D$89,Challenges!$K$89,IF(AND(CG16&gt;=Challenges!$K$89,CG16&lt;Challenges!$J$89),CG16+1,CG16)),CG16))</f>
        <v>6</v>
      </c>
      <c r="CI16" s="0" t="n">
        <f aca="false">IF($B16="","",IF(Challenges!$L$90=1,IF($B16=Challenges!$D$90,Challenges!$K$90,IF(AND(CH16&gt;=Challenges!$K$90,CH16&lt;Challenges!$J$90),CH16+1,CH16)),CH16))</f>
        <v>6</v>
      </c>
      <c r="CJ16" s="0" t="n">
        <f aca="false">IF($B16="","",IF(Challenges!$L$91=1,IF($B16=Challenges!$D$91,Challenges!$K$91,IF(AND(CI16&gt;=Challenges!$K$91,CI16&lt;Challenges!$J$91),CI16+1,CI16)),CI16))</f>
        <v>6</v>
      </c>
      <c r="CK16" s="0" t="n">
        <f aca="false">IF($B16="","",IF(Challenges!$L$92=1,IF($B16=Challenges!$D$92,Challenges!$K$92,IF(AND(CJ16&gt;=Challenges!$K$92,CJ16&lt;Challenges!$J$92),CJ16+1,CJ16)),CJ16))</f>
        <v>6</v>
      </c>
      <c r="CL16" s="0" t="n">
        <f aca="false">IF($B16="","",IF(Challenges!$L$93=1,IF($B16=Challenges!$D$93,Challenges!$K$93,IF(AND(CK16&gt;=Challenges!$K$93,CK16&lt;Challenges!$J$93),CK16+1,CK16)),CK16))</f>
        <v>6</v>
      </c>
      <c r="CM16" s="0" t="n">
        <f aca="false">IF($B16="","",IF(Challenges!$L$94=1,IF($B16=Challenges!$D$94,Challenges!$K$94,IF(AND(CL16&gt;=Challenges!$K$94,CL16&lt;Challenges!$J$94),CL16+1,CL16)),CL16))</f>
        <v>6</v>
      </c>
      <c r="CN16" s="0" t="n">
        <f aca="false">IF($B16="","",IF(Challenges!$L$95=1,IF($B16=Challenges!$D$95,Challenges!$K$95,IF(AND(CM16&gt;=Challenges!$K$95,CM16&lt;Challenges!$J$95),CM16+1,CM16)),CM16))</f>
        <v>6</v>
      </c>
      <c r="CO16" s="0" t="n">
        <f aca="false">IF($B16="","",IF(Challenges!$L$96=1,IF($B16=Challenges!$D$96,Challenges!$K$96,IF(AND(CN16&gt;=Challenges!$K$96,CN16&lt;Challenges!$J$96),CN16+1,CN16)),CN16))</f>
        <v>6</v>
      </c>
      <c r="CP16" s="0" t="n">
        <f aca="false">IF($B16="","",IF(Challenges!$L$97=1,IF($B16=Challenges!$D$97,Challenges!$K$97,IF(AND(CO16&gt;=Challenges!$K$97,CO16&lt;Challenges!$J$97),CO16+1,CO16)),CO16))</f>
        <v>6</v>
      </c>
      <c r="CQ16" s="0" t="n">
        <f aca="false">IF($B16="","",IF(Challenges!$L$98=1,IF($B16=Challenges!$D$98,Challenges!$K$98,IF(AND(CP16&gt;=Challenges!$K$98,CP16&lt;Challenges!$J$98),CP16+1,CP16)),CP16))</f>
        <v>6</v>
      </c>
      <c r="CR16" s="0" t="n">
        <f aca="false">IF($B16="","",IF(Challenges!$L$99=1,IF($B16=Challenges!$D$99,Challenges!$K$99,IF(AND(CQ16&gt;=Challenges!$K$99,CQ16&lt;Challenges!$J$99),CQ16+1,CQ16)),CQ16))</f>
        <v>6</v>
      </c>
      <c r="CS16" s="0" t="n">
        <f aca="false">IF($B16="","",IF(Challenges!$L$100=1,IF($B16=Challenges!$D$100,Challenges!$K$100,IF(AND(CR16&gt;=Challenges!$K$100,CR16&lt;Challenges!$J$100),CR16+1,CR16)),CR16))</f>
        <v>6</v>
      </c>
      <c r="CT16" s="0" t="n">
        <f aca="false">IF($B16="","",IF(Challenges!$L$101=1,IF($B16=Challenges!$D$101,Challenges!$K$101,IF(AND(CS16&gt;=Challenges!$K$101,CS16&lt;Challenges!$J$101),CS16+1,CS16)),CS16))</f>
        <v>6</v>
      </c>
      <c r="CU16" s="0" t="n">
        <f aca="false">IF($B16="","",IF(Challenges!$L$102=1,IF($B16=Challenges!$D$102,Challenges!$K$102,IF(AND(CT16&gt;=Challenges!$K$102,CT16&lt;Challenges!$J$102),CT16+1,CT16)),CT16))</f>
        <v>6</v>
      </c>
      <c r="CV16" s="0" t="n">
        <f aca="false">IF($B16="","",IF(Challenges!$L$103=1,IF($B16=Challenges!$D$103,Challenges!$K$103,IF(AND(CU16&gt;=Challenges!$K$103,CU16&lt;Challenges!$J$103),CU16+1,CU16)),CU16))</f>
        <v>6</v>
      </c>
      <c r="CW16" s="0" t="n">
        <f aca="false">IF($B16="","",IF(Challenges!$L$104=1,IF($B16=Challenges!$D$104,Challenges!$K$104,IF(AND(CV16&gt;=Challenges!$K$104,CV16&lt;Challenges!$J$104),CV16+1,CV16)),CV16))</f>
        <v>6</v>
      </c>
      <c r="CX16" s="0" t="n">
        <f aca="false">IF($B16="","",IF(Challenges!$L$105=1,IF($B16=Challenges!$D$105,Challenges!$K$105,IF(AND(CW16&gt;=Challenges!$K$105,CW16&lt;Challenges!$J$105),CW16+1,CW16)),CW16))</f>
        <v>6</v>
      </c>
      <c r="CY16" s="0" t="n">
        <f aca="false">IF($B16="","",IF(Challenges!$L$106=1,IF($B16=Challenges!$D$106,Challenges!$K$106,IF(AND(CX16&gt;=Challenges!$K$106,CX16&lt;Challenges!$J$106),CX16+1,CX16)),CX16))</f>
        <v>6</v>
      </c>
    </row>
    <row r="17" customFormat="false" ht="15" hidden="false" customHeight="false" outlineLevel="0" collapsed="false">
      <c r="B17" s="0" t="str">
        <f aca="false">IF(Ladder!$C17="","",Ladder!$C17)</f>
        <v/>
      </c>
      <c r="C17" s="0" t="str">
        <f aca="false">IF($B17="","",ROW()-6)</f>
        <v/>
      </c>
      <c r="D17" s="0" t="str">
        <f aca="false">IF($B17="","",IF(Challenges!$L$7=1,IF($B17=Challenges!$D$7,Challenges!$K$7,IF(AND(C17&gt;=Challenges!$K$7,C17&lt;Challenges!$J$7),C17+1,C17)),C17))</f>
        <v/>
      </c>
      <c r="E17" s="0" t="str">
        <f aca="false">IF($B17="","",IF(Challenges!$L$8=1,IF($B17=Challenges!$D$8,Challenges!$K$8,IF(AND(D17&gt;=Challenges!$K$8,D17&lt;Challenges!$J$8),D17+1,D17)),D17))</f>
        <v/>
      </c>
      <c r="F17" s="0" t="str">
        <f aca="false">IF($B17="","",IF(Challenges!$L$9=1,IF($B17=Challenges!$D$9,Challenges!$K$9,IF(AND(E17&gt;=Challenges!$K$9,E17&lt;Challenges!$J$9),E17+1,E17)),E17))</f>
        <v/>
      </c>
      <c r="G17" s="0" t="str">
        <f aca="false">IF($B17="","",IF(Challenges!$L$10=1,IF($B17=Challenges!$D$10,Challenges!$K$10,IF(AND(F17&gt;=Challenges!$K$10,F17&lt;Challenges!$J$10),F17+1,F17)),F17))</f>
        <v/>
      </c>
      <c r="H17" s="0" t="str">
        <f aca="false">IF($B17="","",IF(Challenges!$L$11=1,IF($B17=Challenges!$D$11,Challenges!$K$11,IF(AND(G17&gt;=Challenges!$K$11,G17&lt;Challenges!$J$11),G17+1,G17)),G17))</f>
        <v/>
      </c>
      <c r="I17" s="0" t="str">
        <f aca="false">IF($B17="","",IF(Challenges!$L$12=1,IF($B17=Challenges!$D$12,Challenges!$K$12,IF(AND(H17&gt;=Challenges!$K$12,H17&lt;Challenges!$J$12),H17+1,H17)),H17))</f>
        <v/>
      </c>
      <c r="J17" s="0" t="str">
        <f aca="false">IF($B17="","",IF(Challenges!$L$13=1,IF($B17=Challenges!$D$13,Challenges!$K$13,IF(AND(I17&gt;=Challenges!$K$13,I17&lt;Challenges!$J$13),I17+1,I17)),I17))</f>
        <v/>
      </c>
      <c r="K17" s="0" t="str">
        <f aca="false">IF($B17="","",IF(Challenges!$L$14=1,IF($B17=Challenges!$D$14,Challenges!$K$14,IF(AND(J17&gt;=Challenges!$K$14,J17&lt;Challenges!$J$14),J17+1,J17)),J17))</f>
        <v/>
      </c>
      <c r="L17" s="0" t="str">
        <f aca="false">IF($B17="","",IF(Challenges!$L$15=1,IF($B17=Challenges!$D$15,Challenges!$K$15,IF(AND(K17&gt;=Challenges!$K$15,K17&lt;Challenges!$J$15),K17+1,K17)),K17))</f>
        <v/>
      </c>
      <c r="M17" s="0" t="str">
        <f aca="false">IF($B17="","",IF(Challenges!$L$16=1,IF($B17=Challenges!$D$16,Challenges!$K$16,IF(AND(L17&gt;=Challenges!$K$16,L17&lt;Challenges!$J$16),L17+1,L17)),L17))</f>
        <v/>
      </c>
      <c r="N17" s="0" t="str">
        <f aca="false">IF($B17="","",IF(Challenges!$L$17=1,IF($B17=Challenges!$D$17,Challenges!$K$17,IF(AND(M17&gt;=Challenges!$K$17,M17&lt;Challenges!$J$17),M17+1,M17)),M17))</f>
        <v/>
      </c>
      <c r="O17" s="0" t="str">
        <f aca="false">IF($B17="","",IF(Challenges!$L$18=1,IF($B17=Challenges!$D$18,Challenges!$K$18,IF(AND(N17&gt;=Challenges!$K$18,N17&lt;Challenges!$J$18),N17+1,N17)),N17))</f>
        <v/>
      </c>
      <c r="P17" s="0" t="str">
        <f aca="false">IF($B17="","",IF(Challenges!$L$19=1,IF($B17=Challenges!$D$19,Challenges!$K$19,IF(AND(O17&gt;=Challenges!$K$19,O17&lt;Challenges!$J$19),O17+1,O17)),O17))</f>
        <v/>
      </c>
      <c r="Q17" s="0" t="str">
        <f aca="false">IF($B17="","",IF(Challenges!$L$20=1,IF($B17=Challenges!$D$20,Challenges!$K$20,IF(AND(P17&gt;=Challenges!$K$20,P17&lt;Challenges!$J$20),P17+1,P17)),P17))</f>
        <v/>
      </c>
      <c r="R17" s="0" t="str">
        <f aca="false">IF($B17="","",IF(Challenges!$L$21=1,IF($B17=Challenges!$D$21,Challenges!$K$21,IF(AND(Q17&gt;=Challenges!$K$21,Q17&lt;Challenges!$J$21),Q17+1,Q17)),Q17))</f>
        <v/>
      </c>
      <c r="S17" s="0" t="str">
        <f aca="false">IF($B17="","",IF(Challenges!$L$22=1,IF($B17=Challenges!$D$22,Challenges!$K$22,IF(AND(R17&gt;=Challenges!$K$22,R17&lt;Challenges!$J$22),R17+1,R17)),R17))</f>
        <v/>
      </c>
      <c r="T17" s="0" t="str">
        <f aca="false">IF($B17="","",IF(Challenges!$L$23=1,IF($B17=Challenges!$D$23,Challenges!$K$23,IF(AND(S17&gt;=Challenges!$K$23,S17&lt;Challenges!$J$23),S17+1,S17)),S17))</f>
        <v/>
      </c>
      <c r="U17" s="0" t="str">
        <f aca="false">IF($B17="","",IF(Challenges!$L$24=1,IF($B17=Challenges!$D$24,Challenges!$K$24,IF(AND(T17&gt;=Challenges!$K$24,T17&lt;Challenges!$J$24),T17+1,T17)),T17))</f>
        <v/>
      </c>
      <c r="V17" s="0" t="str">
        <f aca="false">IF($B17="","",IF(Challenges!$L$25=1,IF($B17=Challenges!$D$25,Challenges!$K$25,IF(AND(U17&gt;=Challenges!$K$25,U17&lt;Challenges!$J$25),U17+1,U17)),U17))</f>
        <v/>
      </c>
      <c r="W17" s="0" t="str">
        <f aca="false">IF($B17="","",IF(Challenges!$L$26=1,IF($B17=Challenges!$D$26,Challenges!$K$26,IF(AND(V17&gt;=Challenges!$K$26,V17&lt;Challenges!$J$26),V17+1,V17)),V17))</f>
        <v/>
      </c>
      <c r="X17" s="0" t="str">
        <f aca="false">IF($B17="","",IF(Challenges!$L$27=1,IF($B17=Challenges!$D$27,Challenges!$K$27,IF(AND(W17&gt;=Challenges!$K$27,W17&lt;Challenges!$J$27),W17+1,W17)),W17))</f>
        <v/>
      </c>
      <c r="Y17" s="0" t="str">
        <f aca="false">IF($B17="","",IF(Challenges!$L$28=1,IF($B17=Challenges!$D$28,Challenges!$K$28,IF(AND(X17&gt;=Challenges!$K$28,X17&lt;Challenges!$J$28),X17+1,X17)),X17))</f>
        <v/>
      </c>
      <c r="Z17" s="0" t="str">
        <f aca="false">IF($B17="","",IF(Challenges!$L$29=1,IF($B17=Challenges!$D$29,Challenges!$K$29,IF(AND(Y17&gt;=Challenges!$K$29,Y17&lt;Challenges!$J$29),Y17+1,Y17)),Y17))</f>
        <v/>
      </c>
      <c r="AA17" s="0" t="str">
        <f aca="false">IF($B17="","",IF(Challenges!$L$30=1,IF($B17=Challenges!$D$30,Challenges!$K$30,IF(AND(Z17&gt;=Challenges!$K$30,Z17&lt;Challenges!$J$30),Z17+1,Z17)),Z17))</f>
        <v/>
      </c>
      <c r="AB17" s="0" t="str">
        <f aca="false">IF($B17="","",IF(Challenges!$L$31=1,IF($B17=Challenges!$D$31,Challenges!$K$31,IF(AND(AA17&gt;=Challenges!$K$31,AA17&lt;Challenges!$J$31),AA17+1,AA17)),AA17))</f>
        <v/>
      </c>
      <c r="AC17" s="0" t="str">
        <f aca="false">IF($B17="","",IF(Challenges!$L$32=1,IF($B17=Challenges!$D$32,Challenges!$K$32,IF(AND(AB17&gt;=Challenges!$K$32,AB17&lt;Challenges!$J$32),AB17+1,AB17)),AB17))</f>
        <v/>
      </c>
      <c r="AD17" s="0" t="str">
        <f aca="false">IF($B17="","",IF(Challenges!$L$33=1,IF($B17=Challenges!$D$33,Challenges!$K$33,IF(AND(AC17&gt;=Challenges!$K$33,AC17&lt;Challenges!$J$33),AC17+1,AC17)),AC17))</f>
        <v/>
      </c>
      <c r="AE17" s="0" t="str">
        <f aca="false">IF($B17="","",IF(Challenges!$L$34=1,IF($B17=Challenges!$D$34,Challenges!$K$34,IF(AND(AD17&gt;=Challenges!$K$34,AD17&lt;Challenges!$J$34),AD17+1,AD17)),AD17))</f>
        <v/>
      </c>
      <c r="AF17" s="0" t="str">
        <f aca="false">IF($B17="","",IF(Challenges!$L$35=1,IF($B17=Challenges!$D$35,Challenges!$K$35,IF(AND(AE17&gt;=Challenges!$K$35,AE17&lt;Challenges!$J$35),AE17+1,AE17)),AE17))</f>
        <v/>
      </c>
      <c r="AG17" s="0" t="str">
        <f aca="false">IF($B17="","",IF(Challenges!$L$36=1,IF($B17=Challenges!$D$36,Challenges!$K$36,IF(AND(AF17&gt;=Challenges!$K$36,AF17&lt;Challenges!$J$36),AF17+1,AF17)),AF17))</f>
        <v/>
      </c>
      <c r="AH17" s="0" t="str">
        <f aca="false">IF($B17="","",IF(Challenges!$L$37=1,IF($B17=Challenges!$D$37,Challenges!$K$37,IF(AND(AG17&gt;=Challenges!$K$37,AG17&lt;Challenges!$J$37),AG17+1,AG17)),AG17))</f>
        <v/>
      </c>
      <c r="AI17" s="0" t="str">
        <f aca="false">IF($B17="","",IF(Challenges!$L$38=1,IF($B17=Challenges!$D$38,Challenges!$K$38,IF(AND(AH17&gt;=Challenges!$K$38,AH17&lt;Challenges!$J$38),AH17+1,AH17)),AH17))</f>
        <v/>
      </c>
      <c r="AJ17" s="0" t="str">
        <f aca="false">IF($B17="","",IF(Challenges!$L$39=1,IF($B17=Challenges!$D$39,Challenges!$K$39,IF(AND(AI17&gt;=Challenges!$K$39,AI17&lt;Challenges!$J$39),AI17+1,AI17)),AI17))</f>
        <v/>
      </c>
      <c r="AK17" s="0" t="str">
        <f aca="false">IF($B17="","",IF(Challenges!$L$40=1,IF($B17=Challenges!$D$40,Challenges!$K$40,IF(AND(AJ17&gt;=Challenges!$K$40,AJ17&lt;Challenges!$J$40),AJ17+1,AJ17)),AJ17))</f>
        <v/>
      </c>
      <c r="AL17" s="0" t="str">
        <f aca="false">IF($B17="","",IF(Challenges!$L$41=1,IF($B17=Challenges!$D$41,Challenges!$K$41,IF(AND(AK17&gt;=Challenges!$K$41,AK17&lt;Challenges!$J$41),AK17+1,AK17)),AK17))</f>
        <v/>
      </c>
      <c r="AM17" s="0" t="str">
        <f aca="false">IF($B17="","",IF(Challenges!$L$42=1,IF($B17=Challenges!$D$42,Challenges!$K$42,IF(AND(AL17&gt;=Challenges!$K$42,AL17&lt;Challenges!$J$42),AL17+1,AL17)),AL17))</f>
        <v/>
      </c>
      <c r="AN17" s="0" t="str">
        <f aca="false">IF($B17="","",IF(Challenges!$L$43=1,IF($B17=Challenges!$D$43,Challenges!$K$43,IF(AND(AM17&gt;=Challenges!$K$43,AM17&lt;Challenges!$J$43),AM17+1,AM17)),AM17))</f>
        <v/>
      </c>
      <c r="AO17" s="0" t="str">
        <f aca="false">IF($B17="","",IF(Challenges!$L$44=1,IF($B17=Challenges!$D$44,Challenges!$K$44,IF(AND(AN17&gt;=Challenges!$K$44,AN17&lt;Challenges!$J$44),AN17+1,AN17)),AN17))</f>
        <v/>
      </c>
      <c r="AP17" s="0" t="str">
        <f aca="false">IF($B17="","",IF(Challenges!$L$45=1,IF($B17=Challenges!$D$45,Challenges!$K$45,IF(AND(AO17&gt;=Challenges!$K$45,AO17&lt;Challenges!$J$45),AO17+1,AO17)),AO17))</f>
        <v/>
      </c>
      <c r="AQ17" s="0" t="str">
        <f aca="false">IF($B17="","",IF(Challenges!$L$46=1,IF($B17=Challenges!$D$46,Challenges!$K$46,IF(AND(AP17&gt;=Challenges!$K$46,AP17&lt;Challenges!$J$46),AP17+1,AP17)),AP17))</f>
        <v/>
      </c>
      <c r="AR17" s="0" t="str">
        <f aca="false">IF($B17="","",IF(Challenges!$L$47=1,IF($B17=Challenges!$D$47,Challenges!$K$47,IF(AND(AQ17&gt;=Challenges!$K$47,AQ17&lt;Challenges!$J$47),AQ17+1,AQ17)),AQ17))</f>
        <v/>
      </c>
      <c r="AS17" s="0" t="str">
        <f aca="false">IF($B17="","",IF(Challenges!$L$48=1,IF($B17=Challenges!$D$48,Challenges!$K$48,IF(AND(AR17&gt;=Challenges!$K$48,AR17&lt;Challenges!$J$48),AR17+1,AR17)),AR17))</f>
        <v/>
      </c>
      <c r="AT17" s="0" t="str">
        <f aca="false">IF($B17="","",IF(Challenges!$L$49=1,IF($B17=Challenges!$D$49,Challenges!$K$49,IF(AND(AS17&gt;=Challenges!$K$49,AS17&lt;Challenges!$J$49),AS17+1,AS17)),AS17))</f>
        <v/>
      </c>
      <c r="AU17" s="0" t="str">
        <f aca="false">IF($B17="","",IF(Challenges!$L$50=1,IF($B17=Challenges!$D$50,Challenges!$K$50,IF(AND(AT17&gt;=Challenges!$K$50,AT17&lt;Challenges!$J$50),AT17+1,AT17)),AT17))</f>
        <v/>
      </c>
      <c r="AV17" s="0" t="str">
        <f aca="false">IF($B17="","",IF(Challenges!$L$51=1,IF($B17=Challenges!$D$51,Challenges!$K$51,IF(AND(AU17&gt;=Challenges!$K$51,AU17&lt;Challenges!$J$51),AU17+1,AU17)),AU17))</f>
        <v/>
      </c>
      <c r="AW17" s="0" t="str">
        <f aca="false">IF($B17="","",IF(Challenges!$L$52=1,IF($B17=Challenges!$D$52,Challenges!$K$52,IF(AND(AV17&gt;=Challenges!$K$52,AV17&lt;Challenges!$J$52),AV17+1,AV17)),AV17))</f>
        <v/>
      </c>
      <c r="AX17" s="0" t="str">
        <f aca="false">IF($B17="","",IF(Challenges!$L$53=1,IF($B17=Challenges!$D$53,Challenges!$K$53,IF(AND(AW17&gt;=Challenges!$K$53,AW17&lt;Challenges!$J$53),AW17+1,AW17)),AW17))</f>
        <v/>
      </c>
      <c r="AY17" s="0" t="str">
        <f aca="false">IF($B17="","",IF(Challenges!$L$54=1,IF($B17=Challenges!$D$54,Challenges!$K$54,IF(AND(AX17&gt;=Challenges!$K$54,AX17&lt;Challenges!$J$54),AX17+1,AX17)),AX17))</f>
        <v/>
      </c>
      <c r="AZ17" s="0" t="str">
        <f aca="false">IF($B17="","",IF(Challenges!$L$55=1,IF($B17=Challenges!$D$55,Challenges!$K$55,IF(AND(AY17&gt;=Challenges!$K$55,AY17&lt;Challenges!$J$55),AY17+1,AY17)),AY17))</f>
        <v/>
      </c>
      <c r="BA17" s="0" t="str">
        <f aca="false">IF($B17="","",IF(Challenges!$L$56=1,IF($B17=Challenges!$D$56,Challenges!$K$56,IF(AND(AZ17&gt;=Challenges!$K$56,AZ17&lt;Challenges!$J$56),AZ17+1,AZ17)),AZ17))</f>
        <v/>
      </c>
      <c r="BB17" s="0" t="str">
        <f aca="false">IF($B17="","",IF(Challenges!$L$57=1,IF($B17=Challenges!$D$57,Challenges!$K$57,IF(AND(BA17&gt;=Challenges!$K$57,BA17&lt;Challenges!$J$57),BA17+1,BA17)),BA17))</f>
        <v/>
      </c>
      <c r="BC17" s="0" t="str">
        <f aca="false">IF($B17="","",IF(Challenges!$L$58=1,IF($B17=Challenges!$D$58,Challenges!$K$58,IF(AND(BB17&gt;=Challenges!$K$58,BB17&lt;Challenges!$J$58),BB17+1,BB17)),BB17))</f>
        <v/>
      </c>
      <c r="BD17" s="0" t="str">
        <f aca="false">IF($B17="","",IF(Challenges!$L$59=1,IF($B17=Challenges!$D$59,Challenges!$K$59,IF(AND(BC17&gt;=Challenges!$K$59,BC17&lt;Challenges!$J$59),BC17+1,BC17)),BC17))</f>
        <v/>
      </c>
      <c r="BE17" s="0" t="str">
        <f aca="false">IF($B17="","",IF(Challenges!$L$60=1,IF($B17=Challenges!$D$60,Challenges!$K$60,IF(AND(BD17&gt;=Challenges!$K$60,BD17&lt;Challenges!$J$60),BD17+1,BD17)),BD17))</f>
        <v/>
      </c>
      <c r="BF17" s="0" t="str">
        <f aca="false">IF($B17="","",IF(Challenges!$L$61=1,IF($B17=Challenges!$D$61,Challenges!$K$61,IF(AND(BE17&gt;=Challenges!$K$61,BE17&lt;Challenges!$J$61),BE17+1,BE17)),BE17))</f>
        <v/>
      </c>
      <c r="BG17" s="0" t="str">
        <f aca="false">IF($B17="","",IF(Challenges!$L$62=1,IF($B17=Challenges!$D$62,Challenges!$K$62,IF(AND(BF17&gt;=Challenges!$K$62,BF17&lt;Challenges!$J$62),BF17+1,BF17)),BF17))</f>
        <v/>
      </c>
      <c r="BH17" s="0" t="str">
        <f aca="false">IF($B17="","",IF(Challenges!$L$63=1,IF($B17=Challenges!$D$63,Challenges!$K$63,IF(AND(BG17&gt;=Challenges!$K$63,BG17&lt;Challenges!$J$63),BG17+1,BG17)),BG17))</f>
        <v/>
      </c>
      <c r="BI17" s="0" t="str">
        <f aca="false">IF($B17="","",IF(Challenges!$L$64=1,IF($B17=Challenges!$D$64,Challenges!$K$64,IF(AND(BH17&gt;=Challenges!$K$64,BH17&lt;Challenges!$J$64),BH17+1,BH17)),BH17))</f>
        <v/>
      </c>
      <c r="BJ17" s="0" t="str">
        <f aca="false">IF($B17="","",IF(Challenges!$L$65=1,IF($B17=Challenges!$D$65,Challenges!$K$65,IF(AND(BI17&gt;=Challenges!$K$65,BI17&lt;Challenges!$J$65),BI17+1,BI17)),BI17))</f>
        <v/>
      </c>
      <c r="BK17" s="0" t="str">
        <f aca="false">IF($B17="","",IF(Challenges!$L$66=1,IF($B17=Challenges!$D$66,Challenges!$K$66,IF(AND(BJ17&gt;=Challenges!$K$66,BJ17&lt;Challenges!$J$66),BJ17+1,BJ17)),BJ17))</f>
        <v/>
      </c>
      <c r="BL17" s="0" t="str">
        <f aca="false">IF($B17="","",IF(Challenges!$L$67=1,IF($B17=Challenges!$D$67,Challenges!$K$67,IF(AND(BK17&gt;=Challenges!$K$67,BK17&lt;Challenges!$J$67),BK17+1,BK17)),BK17))</f>
        <v/>
      </c>
      <c r="BM17" s="0" t="str">
        <f aca="false">IF($B17="","",IF(Challenges!$L$68=1,IF($B17=Challenges!$D$68,Challenges!$K$68,IF(AND(BL17&gt;=Challenges!$K$68,BL17&lt;Challenges!$J$68),BL17+1,BL17)),BL17))</f>
        <v/>
      </c>
      <c r="BN17" s="0" t="str">
        <f aca="false">IF($B17="","",IF(Challenges!$L$69=1,IF($B17=Challenges!$D$69,Challenges!$K$69,IF(AND(BM17&gt;=Challenges!$K$69,BM17&lt;Challenges!$J$69),BM17+1,BM17)),BM17))</f>
        <v/>
      </c>
      <c r="BO17" s="0" t="str">
        <f aca="false">IF($B17="","",IF(Challenges!$L$70=1,IF($B17=Challenges!$D$70,Challenges!$K$70,IF(AND(BN17&gt;=Challenges!$K$70,BN17&lt;Challenges!$J$70),BN17+1,BN17)),BN17))</f>
        <v/>
      </c>
      <c r="BP17" s="0" t="str">
        <f aca="false">IF($B17="","",IF(Challenges!$L$71=1,IF($B17=Challenges!$D$71,Challenges!$K$71,IF(AND(BO17&gt;=Challenges!$K$71,BO17&lt;Challenges!$J$71),BO17+1,BO17)),BO17))</f>
        <v/>
      </c>
      <c r="BQ17" s="0" t="str">
        <f aca="false">IF($B17="","",IF(Challenges!$L$72=1,IF($B17=Challenges!$D$72,Challenges!$K$72,IF(AND(BP17&gt;=Challenges!$K$72,BP17&lt;Challenges!$J$72),BP17+1,BP17)),BP17))</f>
        <v/>
      </c>
      <c r="BR17" s="0" t="str">
        <f aca="false">IF($B17="","",IF(Challenges!$L$73=1,IF($B17=Challenges!$D$73,Challenges!$K$73,IF(AND(BQ17&gt;=Challenges!$K$73,BQ17&lt;Challenges!$J$73),BQ17+1,BQ17)),BQ17))</f>
        <v/>
      </c>
      <c r="BS17" s="0" t="str">
        <f aca="false">IF($B17="","",IF(Challenges!$L$74=1,IF($B17=Challenges!$D$74,Challenges!$K$74,IF(AND(BR17&gt;=Challenges!$K$74,BR17&lt;Challenges!$J$74),BR17+1,BR17)),BR17))</f>
        <v/>
      </c>
      <c r="BT17" s="0" t="str">
        <f aca="false">IF($B17="","",IF(Challenges!$L$75=1,IF($B17=Challenges!$D$75,Challenges!$K$75,IF(AND(BS17&gt;=Challenges!$K$75,BS17&lt;Challenges!$J$75),BS17+1,BS17)),BS17))</f>
        <v/>
      </c>
      <c r="BU17" s="0" t="str">
        <f aca="false">IF($B17="","",IF(Challenges!$L$76=1,IF($B17=Challenges!$D$76,Challenges!$K$76,IF(AND(BT17&gt;=Challenges!$K$76,BT17&lt;Challenges!$J$76),BT17+1,BT17)),BT17))</f>
        <v/>
      </c>
      <c r="BV17" s="0" t="str">
        <f aca="false">IF($B17="","",IF(Challenges!$L$77=1,IF($B17=Challenges!$D$77,Challenges!$K$77,IF(AND(BU17&gt;=Challenges!$K$77,BU17&lt;Challenges!$J$77),BU17+1,BU17)),BU17))</f>
        <v/>
      </c>
      <c r="BW17" s="0" t="str">
        <f aca="false">IF($B17="","",IF(Challenges!$L$78=1,IF($B17=Challenges!$D$78,Challenges!$K$78,IF(AND(BV17&gt;=Challenges!$K$78,BV17&lt;Challenges!$J$78),BV17+1,BV17)),BV17))</f>
        <v/>
      </c>
      <c r="BX17" s="0" t="str">
        <f aca="false">IF($B17="","",IF(Challenges!$L$79=1,IF($B17=Challenges!$D$79,Challenges!$K$79,IF(AND(BW17&gt;=Challenges!$K$79,BW17&lt;Challenges!$J$79),BW17+1,BW17)),BW17))</f>
        <v/>
      </c>
      <c r="BY17" s="0" t="str">
        <f aca="false">IF($B17="","",IF(Challenges!$L$80=1,IF($B17=Challenges!$D$80,Challenges!$K$80,IF(AND(BX17&gt;=Challenges!$K$80,BX17&lt;Challenges!$J$80),BX17+1,BX17)),BX17))</f>
        <v/>
      </c>
      <c r="BZ17" s="0" t="str">
        <f aca="false">IF($B17="","",IF(Challenges!$L$81=1,IF($B17=Challenges!$D$81,Challenges!$K$81,IF(AND(BY17&gt;=Challenges!$K$81,BY17&lt;Challenges!$J$81),BY17+1,BY17)),BY17))</f>
        <v/>
      </c>
      <c r="CA17" s="0" t="str">
        <f aca="false">IF($B17="","",IF(Challenges!$L$82=1,IF($B17=Challenges!$D$82,Challenges!$K$82,IF(AND(BZ17&gt;=Challenges!$K$82,BZ17&lt;Challenges!$J$82),BZ17+1,BZ17)),BZ17))</f>
        <v/>
      </c>
      <c r="CB17" s="0" t="str">
        <f aca="false">IF($B17="","",IF(Challenges!$L$83=1,IF($B17=Challenges!$D$83,Challenges!$K$83,IF(AND(CA17&gt;=Challenges!$K$83,CA17&lt;Challenges!$J$83),CA17+1,CA17)),CA17))</f>
        <v/>
      </c>
      <c r="CC17" s="0" t="str">
        <f aca="false">IF($B17="","",IF(Challenges!$L$84=1,IF($B17=Challenges!$D$84,Challenges!$K$84,IF(AND(CB17&gt;=Challenges!$K$84,CB17&lt;Challenges!$J$84),CB17+1,CB17)),CB17))</f>
        <v/>
      </c>
      <c r="CD17" s="0" t="str">
        <f aca="false">IF($B17="","",IF(Challenges!$L$85=1,IF($B17=Challenges!$D$85,Challenges!$K$85,IF(AND(CC17&gt;=Challenges!$K$85,CC17&lt;Challenges!$J$85),CC17+1,CC17)),CC17))</f>
        <v/>
      </c>
      <c r="CE17" s="0" t="str">
        <f aca="false">IF($B17="","",IF(Challenges!$L$86=1,IF($B17=Challenges!$D$86,Challenges!$K$86,IF(AND(CD17&gt;=Challenges!$K$86,CD17&lt;Challenges!$J$86),CD17+1,CD17)),CD17))</f>
        <v/>
      </c>
      <c r="CF17" s="0" t="str">
        <f aca="false">IF($B17="","",IF(Challenges!$L$87=1,IF($B17=Challenges!$D$87,Challenges!$K$87,IF(AND(CE17&gt;=Challenges!$K$87,CE17&lt;Challenges!$J$87),CE17+1,CE17)),CE17))</f>
        <v/>
      </c>
      <c r="CG17" s="0" t="str">
        <f aca="false">IF($B17="","",IF(Challenges!$L$88=1,IF($B17=Challenges!$D$88,Challenges!$K$88,IF(AND(CF17&gt;=Challenges!$K$88,CF17&lt;Challenges!$J$88),CF17+1,CF17)),CF17))</f>
        <v/>
      </c>
      <c r="CH17" s="0" t="str">
        <f aca="false">IF($B17="","",IF(Challenges!$L$89=1,IF($B17=Challenges!$D$89,Challenges!$K$89,IF(AND(CG17&gt;=Challenges!$K$89,CG17&lt;Challenges!$J$89),CG17+1,CG17)),CG17))</f>
        <v/>
      </c>
      <c r="CI17" s="0" t="str">
        <f aca="false">IF($B17="","",IF(Challenges!$L$90=1,IF($B17=Challenges!$D$90,Challenges!$K$90,IF(AND(CH17&gt;=Challenges!$K$90,CH17&lt;Challenges!$J$90),CH17+1,CH17)),CH17))</f>
        <v/>
      </c>
      <c r="CJ17" s="0" t="str">
        <f aca="false">IF($B17="","",IF(Challenges!$L$91=1,IF($B17=Challenges!$D$91,Challenges!$K$91,IF(AND(CI17&gt;=Challenges!$K$91,CI17&lt;Challenges!$J$91),CI17+1,CI17)),CI17))</f>
        <v/>
      </c>
      <c r="CK17" s="0" t="str">
        <f aca="false">IF($B17="","",IF(Challenges!$L$92=1,IF($B17=Challenges!$D$92,Challenges!$K$92,IF(AND(CJ17&gt;=Challenges!$K$92,CJ17&lt;Challenges!$J$92),CJ17+1,CJ17)),CJ17))</f>
        <v/>
      </c>
      <c r="CL17" s="0" t="str">
        <f aca="false">IF($B17="","",IF(Challenges!$L$93=1,IF($B17=Challenges!$D$93,Challenges!$K$93,IF(AND(CK17&gt;=Challenges!$K$93,CK17&lt;Challenges!$J$93),CK17+1,CK17)),CK17))</f>
        <v/>
      </c>
      <c r="CM17" s="0" t="str">
        <f aca="false">IF($B17="","",IF(Challenges!$L$94=1,IF($B17=Challenges!$D$94,Challenges!$K$94,IF(AND(CL17&gt;=Challenges!$K$94,CL17&lt;Challenges!$J$94),CL17+1,CL17)),CL17))</f>
        <v/>
      </c>
      <c r="CN17" s="0" t="str">
        <f aca="false">IF($B17="","",IF(Challenges!$L$95=1,IF($B17=Challenges!$D$95,Challenges!$K$95,IF(AND(CM17&gt;=Challenges!$K$95,CM17&lt;Challenges!$J$95),CM17+1,CM17)),CM17))</f>
        <v/>
      </c>
      <c r="CO17" s="0" t="str">
        <f aca="false">IF($B17="","",IF(Challenges!$L$96=1,IF($B17=Challenges!$D$96,Challenges!$K$96,IF(AND(CN17&gt;=Challenges!$K$96,CN17&lt;Challenges!$J$96),CN17+1,CN17)),CN17))</f>
        <v/>
      </c>
      <c r="CP17" s="0" t="str">
        <f aca="false">IF($B17="","",IF(Challenges!$L$97=1,IF($B17=Challenges!$D$97,Challenges!$K$97,IF(AND(CO17&gt;=Challenges!$K$97,CO17&lt;Challenges!$J$97),CO17+1,CO17)),CO17))</f>
        <v/>
      </c>
      <c r="CQ17" s="0" t="str">
        <f aca="false">IF($B17="","",IF(Challenges!$L$98=1,IF($B17=Challenges!$D$98,Challenges!$K$98,IF(AND(CP17&gt;=Challenges!$K$98,CP17&lt;Challenges!$J$98),CP17+1,CP17)),CP17))</f>
        <v/>
      </c>
      <c r="CR17" s="0" t="str">
        <f aca="false">IF($B17="","",IF(Challenges!$L$99=1,IF($B17=Challenges!$D$99,Challenges!$K$99,IF(AND(CQ17&gt;=Challenges!$K$99,CQ17&lt;Challenges!$J$99),CQ17+1,CQ17)),CQ17))</f>
        <v/>
      </c>
      <c r="CS17" s="0" t="str">
        <f aca="false">IF($B17="","",IF(Challenges!$L$100=1,IF($B17=Challenges!$D$100,Challenges!$K$100,IF(AND(CR17&gt;=Challenges!$K$100,CR17&lt;Challenges!$J$100),CR17+1,CR17)),CR17))</f>
        <v/>
      </c>
      <c r="CT17" s="0" t="str">
        <f aca="false">IF($B17="","",IF(Challenges!$L$101=1,IF($B17=Challenges!$D$101,Challenges!$K$101,IF(AND(CS17&gt;=Challenges!$K$101,CS17&lt;Challenges!$J$101),CS17+1,CS17)),CS17))</f>
        <v/>
      </c>
      <c r="CU17" s="0" t="str">
        <f aca="false">IF($B17="","",IF(Challenges!$L$102=1,IF($B17=Challenges!$D$102,Challenges!$K$102,IF(AND(CT17&gt;=Challenges!$K$102,CT17&lt;Challenges!$J$102),CT17+1,CT17)),CT17))</f>
        <v/>
      </c>
      <c r="CV17" s="0" t="str">
        <f aca="false">IF($B17="","",IF(Challenges!$L$103=1,IF($B17=Challenges!$D$103,Challenges!$K$103,IF(AND(CU17&gt;=Challenges!$K$103,CU17&lt;Challenges!$J$103),CU17+1,CU17)),CU17))</f>
        <v/>
      </c>
      <c r="CW17" s="0" t="str">
        <f aca="false">IF($B17="","",IF(Challenges!$L$104=1,IF($B17=Challenges!$D$104,Challenges!$K$104,IF(AND(CV17&gt;=Challenges!$K$104,CV17&lt;Challenges!$J$104),CV17+1,CV17)),CV17))</f>
        <v/>
      </c>
      <c r="CX17" s="0" t="str">
        <f aca="false">IF($B17="","",IF(Challenges!$L$105=1,IF($B17=Challenges!$D$105,Challenges!$K$105,IF(AND(CW17&gt;=Challenges!$K$105,CW17&lt;Challenges!$J$105),CW17+1,CW17)),CW17))</f>
        <v/>
      </c>
      <c r="CY17" s="0" t="str">
        <f aca="false">IF($B17="","",IF(Challenges!$L$106=1,IF($B17=Challenges!$D$106,Challenges!$K$106,IF(AND(CX17&gt;=Challenges!$K$106,CX17&lt;Challenges!$J$106),CX17+1,CX17)),CX17))</f>
        <v/>
      </c>
    </row>
    <row r="18" customFormat="false" ht="15" hidden="false" customHeight="false" outlineLevel="0" collapsed="false">
      <c r="B18" s="0" t="str">
        <f aca="false">IF(Ladder!$C18="","",Ladder!$C18)</f>
        <v/>
      </c>
      <c r="C18" s="0" t="str">
        <f aca="false">IF($B18="","",ROW()-6)</f>
        <v/>
      </c>
      <c r="D18" s="0" t="str">
        <f aca="false">IF($B18="","",IF(Challenges!$L$7=1,IF($B18=Challenges!$D$7,Challenges!$K$7,IF(AND(C18&gt;=Challenges!$K$7,C18&lt;Challenges!$J$7),C18+1,C18)),C18))</f>
        <v/>
      </c>
      <c r="E18" s="0" t="str">
        <f aca="false">IF($B18="","",IF(Challenges!$L$8=1,IF($B18=Challenges!$D$8,Challenges!$K$8,IF(AND(D18&gt;=Challenges!$K$8,D18&lt;Challenges!$J$8),D18+1,D18)),D18))</f>
        <v/>
      </c>
      <c r="F18" s="0" t="str">
        <f aca="false">IF($B18="","",IF(Challenges!$L$9=1,IF($B18=Challenges!$D$9,Challenges!$K$9,IF(AND(E18&gt;=Challenges!$K$9,E18&lt;Challenges!$J$9),E18+1,E18)),E18))</f>
        <v/>
      </c>
      <c r="G18" s="0" t="str">
        <f aca="false">IF($B18="","",IF(Challenges!$L$10=1,IF($B18=Challenges!$D$10,Challenges!$K$10,IF(AND(F18&gt;=Challenges!$K$10,F18&lt;Challenges!$J$10),F18+1,F18)),F18))</f>
        <v/>
      </c>
      <c r="H18" s="0" t="str">
        <f aca="false">IF($B18="","",IF(Challenges!$L$11=1,IF($B18=Challenges!$D$11,Challenges!$K$11,IF(AND(G18&gt;=Challenges!$K$11,G18&lt;Challenges!$J$11),G18+1,G18)),G18))</f>
        <v/>
      </c>
      <c r="I18" s="0" t="str">
        <f aca="false">IF($B18="","",IF(Challenges!$L$12=1,IF($B18=Challenges!$D$12,Challenges!$K$12,IF(AND(H18&gt;=Challenges!$K$12,H18&lt;Challenges!$J$12),H18+1,H18)),H18))</f>
        <v/>
      </c>
      <c r="J18" s="0" t="str">
        <f aca="false">IF($B18="","",IF(Challenges!$L$13=1,IF($B18=Challenges!$D$13,Challenges!$K$13,IF(AND(I18&gt;=Challenges!$K$13,I18&lt;Challenges!$J$13),I18+1,I18)),I18))</f>
        <v/>
      </c>
      <c r="K18" s="0" t="str">
        <f aca="false">IF($B18="","",IF(Challenges!$L$14=1,IF($B18=Challenges!$D$14,Challenges!$K$14,IF(AND(J18&gt;=Challenges!$K$14,J18&lt;Challenges!$J$14),J18+1,J18)),J18))</f>
        <v/>
      </c>
      <c r="L18" s="0" t="str">
        <f aca="false">IF($B18="","",IF(Challenges!$L$15=1,IF($B18=Challenges!$D$15,Challenges!$K$15,IF(AND(K18&gt;=Challenges!$K$15,K18&lt;Challenges!$J$15),K18+1,K18)),K18))</f>
        <v/>
      </c>
      <c r="M18" s="0" t="str">
        <f aca="false">IF($B18="","",IF(Challenges!$L$16=1,IF($B18=Challenges!$D$16,Challenges!$K$16,IF(AND(L18&gt;=Challenges!$K$16,L18&lt;Challenges!$J$16),L18+1,L18)),L18))</f>
        <v/>
      </c>
      <c r="N18" s="0" t="str">
        <f aca="false">IF($B18="","",IF(Challenges!$L$17=1,IF($B18=Challenges!$D$17,Challenges!$K$17,IF(AND(M18&gt;=Challenges!$K$17,M18&lt;Challenges!$J$17),M18+1,M18)),M18))</f>
        <v/>
      </c>
      <c r="O18" s="0" t="str">
        <f aca="false">IF($B18="","",IF(Challenges!$L$18=1,IF($B18=Challenges!$D$18,Challenges!$K$18,IF(AND(N18&gt;=Challenges!$K$18,N18&lt;Challenges!$J$18),N18+1,N18)),N18))</f>
        <v/>
      </c>
      <c r="P18" s="0" t="str">
        <f aca="false">IF($B18="","",IF(Challenges!$L$19=1,IF($B18=Challenges!$D$19,Challenges!$K$19,IF(AND(O18&gt;=Challenges!$K$19,O18&lt;Challenges!$J$19),O18+1,O18)),O18))</f>
        <v/>
      </c>
      <c r="Q18" s="0" t="str">
        <f aca="false">IF($B18="","",IF(Challenges!$L$20=1,IF($B18=Challenges!$D$20,Challenges!$K$20,IF(AND(P18&gt;=Challenges!$K$20,P18&lt;Challenges!$J$20),P18+1,P18)),P18))</f>
        <v/>
      </c>
      <c r="R18" s="0" t="str">
        <f aca="false">IF($B18="","",IF(Challenges!$L$21=1,IF($B18=Challenges!$D$21,Challenges!$K$21,IF(AND(Q18&gt;=Challenges!$K$21,Q18&lt;Challenges!$J$21),Q18+1,Q18)),Q18))</f>
        <v/>
      </c>
      <c r="S18" s="0" t="str">
        <f aca="false">IF($B18="","",IF(Challenges!$L$22=1,IF($B18=Challenges!$D$22,Challenges!$K$22,IF(AND(R18&gt;=Challenges!$K$22,R18&lt;Challenges!$J$22),R18+1,R18)),R18))</f>
        <v/>
      </c>
      <c r="T18" s="0" t="str">
        <f aca="false">IF($B18="","",IF(Challenges!$L$23=1,IF($B18=Challenges!$D$23,Challenges!$K$23,IF(AND(S18&gt;=Challenges!$K$23,S18&lt;Challenges!$J$23),S18+1,S18)),S18))</f>
        <v/>
      </c>
      <c r="U18" s="0" t="str">
        <f aca="false">IF($B18="","",IF(Challenges!$L$24=1,IF($B18=Challenges!$D$24,Challenges!$K$24,IF(AND(T18&gt;=Challenges!$K$24,T18&lt;Challenges!$J$24),T18+1,T18)),T18))</f>
        <v/>
      </c>
      <c r="V18" s="0" t="str">
        <f aca="false">IF($B18="","",IF(Challenges!$L$25=1,IF($B18=Challenges!$D$25,Challenges!$K$25,IF(AND(U18&gt;=Challenges!$K$25,U18&lt;Challenges!$J$25),U18+1,U18)),U18))</f>
        <v/>
      </c>
      <c r="W18" s="0" t="str">
        <f aca="false">IF($B18="","",IF(Challenges!$L$26=1,IF($B18=Challenges!$D$26,Challenges!$K$26,IF(AND(V18&gt;=Challenges!$K$26,V18&lt;Challenges!$J$26),V18+1,V18)),V18))</f>
        <v/>
      </c>
      <c r="X18" s="0" t="str">
        <f aca="false">IF($B18="","",IF(Challenges!$L$27=1,IF($B18=Challenges!$D$27,Challenges!$K$27,IF(AND(W18&gt;=Challenges!$K$27,W18&lt;Challenges!$J$27),W18+1,W18)),W18))</f>
        <v/>
      </c>
      <c r="Y18" s="0" t="str">
        <f aca="false">IF($B18="","",IF(Challenges!$L$28=1,IF($B18=Challenges!$D$28,Challenges!$K$28,IF(AND(X18&gt;=Challenges!$K$28,X18&lt;Challenges!$J$28),X18+1,X18)),X18))</f>
        <v/>
      </c>
      <c r="Z18" s="0" t="str">
        <f aca="false">IF($B18="","",IF(Challenges!$L$29=1,IF($B18=Challenges!$D$29,Challenges!$K$29,IF(AND(Y18&gt;=Challenges!$K$29,Y18&lt;Challenges!$J$29),Y18+1,Y18)),Y18))</f>
        <v/>
      </c>
      <c r="AA18" s="0" t="str">
        <f aca="false">IF($B18="","",IF(Challenges!$L$30=1,IF($B18=Challenges!$D$30,Challenges!$K$30,IF(AND(Z18&gt;=Challenges!$K$30,Z18&lt;Challenges!$J$30),Z18+1,Z18)),Z18))</f>
        <v/>
      </c>
      <c r="AB18" s="0" t="str">
        <f aca="false">IF($B18="","",IF(Challenges!$L$31=1,IF($B18=Challenges!$D$31,Challenges!$K$31,IF(AND(AA18&gt;=Challenges!$K$31,AA18&lt;Challenges!$J$31),AA18+1,AA18)),AA18))</f>
        <v/>
      </c>
      <c r="AC18" s="0" t="str">
        <f aca="false">IF($B18="","",IF(Challenges!$L$32=1,IF($B18=Challenges!$D$32,Challenges!$K$32,IF(AND(AB18&gt;=Challenges!$K$32,AB18&lt;Challenges!$J$32),AB18+1,AB18)),AB18))</f>
        <v/>
      </c>
      <c r="AD18" s="0" t="str">
        <f aca="false">IF($B18="","",IF(Challenges!$L$33=1,IF($B18=Challenges!$D$33,Challenges!$K$33,IF(AND(AC18&gt;=Challenges!$K$33,AC18&lt;Challenges!$J$33),AC18+1,AC18)),AC18))</f>
        <v/>
      </c>
      <c r="AE18" s="0" t="str">
        <f aca="false">IF($B18="","",IF(Challenges!$L$34=1,IF($B18=Challenges!$D$34,Challenges!$K$34,IF(AND(AD18&gt;=Challenges!$K$34,AD18&lt;Challenges!$J$34),AD18+1,AD18)),AD18))</f>
        <v/>
      </c>
      <c r="AF18" s="0" t="str">
        <f aca="false">IF($B18="","",IF(Challenges!$L$35=1,IF($B18=Challenges!$D$35,Challenges!$K$35,IF(AND(AE18&gt;=Challenges!$K$35,AE18&lt;Challenges!$J$35),AE18+1,AE18)),AE18))</f>
        <v/>
      </c>
      <c r="AG18" s="0" t="str">
        <f aca="false">IF($B18="","",IF(Challenges!$L$36=1,IF($B18=Challenges!$D$36,Challenges!$K$36,IF(AND(AF18&gt;=Challenges!$K$36,AF18&lt;Challenges!$J$36),AF18+1,AF18)),AF18))</f>
        <v/>
      </c>
      <c r="AH18" s="0" t="str">
        <f aca="false">IF($B18="","",IF(Challenges!$L$37=1,IF($B18=Challenges!$D$37,Challenges!$K$37,IF(AND(AG18&gt;=Challenges!$K$37,AG18&lt;Challenges!$J$37),AG18+1,AG18)),AG18))</f>
        <v/>
      </c>
      <c r="AI18" s="0" t="str">
        <f aca="false">IF($B18="","",IF(Challenges!$L$38=1,IF($B18=Challenges!$D$38,Challenges!$K$38,IF(AND(AH18&gt;=Challenges!$K$38,AH18&lt;Challenges!$J$38),AH18+1,AH18)),AH18))</f>
        <v/>
      </c>
      <c r="AJ18" s="0" t="str">
        <f aca="false">IF($B18="","",IF(Challenges!$L$39=1,IF($B18=Challenges!$D$39,Challenges!$K$39,IF(AND(AI18&gt;=Challenges!$K$39,AI18&lt;Challenges!$J$39),AI18+1,AI18)),AI18))</f>
        <v/>
      </c>
      <c r="AK18" s="0" t="str">
        <f aca="false">IF($B18="","",IF(Challenges!$L$40=1,IF($B18=Challenges!$D$40,Challenges!$K$40,IF(AND(AJ18&gt;=Challenges!$K$40,AJ18&lt;Challenges!$J$40),AJ18+1,AJ18)),AJ18))</f>
        <v/>
      </c>
      <c r="AL18" s="0" t="str">
        <f aca="false">IF($B18="","",IF(Challenges!$L$41=1,IF($B18=Challenges!$D$41,Challenges!$K$41,IF(AND(AK18&gt;=Challenges!$K$41,AK18&lt;Challenges!$J$41),AK18+1,AK18)),AK18))</f>
        <v/>
      </c>
      <c r="AM18" s="0" t="str">
        <f aca="false">IF($B18="","",IF(Challenges!$L$42=1,IF($B18=Challenges!$D$42,Challenges!$K$42,IF(AND(AL18&gt;=Challenges!$K$42,AL18&lt;Challenges!$J$42),AL18+1,AL18)),AL18))</f>
        <v/>
      </c>
      <c r="AN18" s="0" t="str">
        <f aca="false">IF($B18="","",IF(Challenges!$L$43=1,IF($B18=Challenges!$D$43,Challenges!$K$43,IF(AND(AM18&gt;=Challenges!$K$43,AM18&lt;Challenges!$J$43),AM18+1,AM18)),AM18))</f>
        <v/>
      </c>
      <c r="AO18" s="0" t="str">
        <f aca="false">IF($B18="","",IF(Challenges!$L$44=1,IF($B18=Challenges!$D$44,Challenges!$K$44,IF(AND(AN18&gt;=Challenges!$K$44,AN18&lt;Challenges!$J$44),AN18+1,AN18)),AN18))</f>
        <v/>
      </c>
      <c r="AP18" s="0" t="str">
        <f aca="false">IF($B18="","",IF(Challenges!$L$45=1,IF($B18=Challenges!$D$45,Challenges!$K$45,IF(AND(AO18&gt;=Challenges!$K$45,AO18&lt;Challenges!$J$45),AO18+1,AO18)),AO18))</f>
        <v/>
      </c>
      <c r="AQ18" s="0" t="str">
        <f aca="false">IF($B18="","",IF(Challenges!$L$46=1,IF($B18=Challenges!$D$46,Challenges!$K$46,IF(AND(AP18&gt;=Challenges!$K$46,AP18&lt;Challenges!$J$46),AP18+1,AP18)),AP18))</f>
        <v/>
      </c>
      <c r="AR18" s="0" t="str">
        <f aca="false">IF($B18="","",IF(Challenges!$L$47=1,IF($B18=Challenges!$D$47,Challenges!$K$47,IF(AND(AQ18&gt;=Challenges!$K$47,AQ18&lt;Challenges!$J$47),AQ18+1,AQ18)),AQ18))</f>
        <v/>
      </c>
      <c r="AS18" s="0" t="str">
        <f aca="false">IF($B18="","",IF(Challenges!$L$48=1,IF($B18=Challenges!$D$48,Challenges!$K$48,IF(AND(AR18&gt;=Challenges!$K$48,AR18&lt;Challenges!$J$48),AR18+1,AR18)),AR18))</f>
        <v/>
      </c>
      <c r="AT18" s="0" t="str">
        <f aca="false">IF($B18="","",IF(Challenges!$L$49=1,IF($B18=Challenges!$D$49,Challenges!$K$49,IF(AND(AS18&gt;=Challenges!$K$49,AS18&lt;Challenges!$J$49),AS18+1,AS18)),AS18))</f>
        <v/>
      </c>
      <c r="AU18" s="0" t="str">
        <f aca="false">IF($B18="","",IF(Challenges!$L$50=1,IF($B18=Challenges!$D$50,Challenges!$K$50,IF(AND(AT18&gt;=Challenges!$K$50,AT18&lt;Challenges!$J$50),AT18+1,AT18)),AT18))</f>
        <v/>
      </c>
      <c r="AV18" s="0" t="str">
        <f aca="false">IF($B18="","",IF(Challenges!$L$51=1,IF($B18=Challenges!$D$51,Challenges!$K$51,IF(AND(AU18&gt;=Challenges!$K$51,AU18&lt;Challenges!$J$51),AU18+1,AU18)),AU18))</f>
        <v/>
      </c>
      <c r="AW18" s="0" t="str">
        <f aca="false">IF($B18="","",IF(Challenges!$L$52=1,IF($B18=Challenges!$D$52,Challenges!$K$52,IF(AND(AV18&gt;=Challenges!$K$52,AV18&lt;Challenges!$J$52),AV18+1,AV18)),AV18))</f>
        <v/>
      </c>
      <c r="AX18" s="0" t="str">
        <f aca="false">IF($B18="","",IF(Challenges!$L$53=1,IF($B18=Challenges!$D$53,Challenges!$K$53,IF(AND(AW18&gt;=Challenges!$K$53,AW18&lt;Challenges!$J$53),AW18+1,AW18)),AW18))</f>
        <v/>
      </c>
      <c r="AY18" s="0" t="str">
        <f aca="false">IF($B18="","",IF(Challenges!$L$54=1,IF($B18=Challenges!$D$54,Challenges!$K$54,IF(AND(AX18&gt;=Challenges!$K$54,AX18&lt;Challenges!$J$54),AX18+1,AX18)),AX18))</f>
        <v/>
      </c>
      <c r="AZ18" s="0" t="str">
        <f aca="false">IF($B18="","",IF(Challenges!$L$55=1,IF($B18=Challenges!$D$55,Challenges!$K$55,IF(AND(AY18&gt;=Challenges!$K$55,AY18&lt;Challenges!$J$55),AY18+1,AY18)),AY18))</f>
        <v/>
      </c>
      <c r="BA18" s="0" t="str">
        <f aca="false">IF($B18="","",IF(Challenges!$L$56=1,IF($B18=Challenges!$D$56,Challenges!$K$56,IF(AND(AZ18&gt;=Challenges!$K$56,AZ18&lt;Challenges!$J$56),AZ18+1,AZ18)),AZ18))</f>
        <v/>
      </c>
      <c r="BB18" s="0" t="str">
        <f aca="false">IF($B18="","",IF(Challenges!$L$57=1,IF($B18=Challenges!$D$57,Challenges!$K$57,IF(AND(BA18&gt;=Challenges!$K$57,BA18&lt;Challenges!$J$57),BA18+1,BA18)),BA18))</f>
        <v/>
      </c>
      <c r="BC18" s="0" t="str">
        <f aca="false">IF($B18="","",IF(Challenges!$L$58=1,IF($B18=Challenges!$D$58,Challenges!$K$58,IF(AND(BB18&gt;=Challenges!$K$58,BB18&lt;Challenges!$J$58),BB18+1,BB18)),BB18))</f>
        <v/>
      </c>
      <c r="BD18" s="0" t="str">
        <f aca="false">IF($B18="","",IF(Challenges!$L$59=1,IF($B18=Challenges!$D$59,Challenges!$K$59,IF(AND(BC18&gt;=Challenges!$K$59,BC18&lt;Challenges!$J$59),BC18+1,BC18)),BC18))</f>
        <v/>
      </c>
      <c r="BE18" s="0" t="str">
        <f aca="false">IF($B18="","",IF(Challenges!$L$60=1,IF($B18=Challenges!$D$60,Challenges!$K$60,IF(AND(BD18&gt;=Challenges!$K$60,BD18&lt;Challenges!$J$60),BD18+1,BD18)),BD18))</f>
        <v/>
      </c>
      <c r="BF18" s="0" t="str">
        <f aca="false">IF($B18="","",IF(Challenges!$L$61=1,IF($B18=Challenges!$D$61,Challenges!$K$61,IF(AND(BE18&gt;=Challenges!$K$61,BE18&lt;Challenges!$J$61),BE18+1,BE18)),BE18))</f>
        <v/>
      </c>
      <c r="BG18" s="0" t="str">
        <f aca="false">IF($B18="","",IF(Challenges!$L$62=1,IF($B18=Challenges!$D$62,Challenges!$K$62,IF(AND(BF18&gt;=Challenges!$K$62,BF18&lt;Challenges!$J$62),BF18+1,BF18)),BF18))</f>
        <v/>
      </c>
      <c r="BH18" s="0" t="str">
        <f aca="false">IF($B18="","",IF(Challenges!$L$63=1,IF($B18=Challenges!$D$63,Challenges!$K$63,IF(AND(BG18&gt;=Challenges!$K$63,BG18&lt;Challenges!$J$63),BG18+1,BG18)),BG18))</f>
        <v/>
      </c>
      <c r="BI18" s="0" t="str">
        <f aca="false">IF($B18="","",IF(Challenges!$L$64=1,IF($B18=Challenges!$D$64,Challenges!$K$64,IF(AND(BH18&gt;=Challenges!$K$64,BH18&lt;Challenges!$J$64),BH18+1,BH18)),BH18))</f>
        <v/>
      </c>
      <c r="BJ18" s="0" t="str">
        <f aca="false">IF($B18="","",IF(Challenges!$L$65=1,IF($B18=Challenges!$D$65,Challenges!$K$65,IF(AND(BI18&gt;=Challenges!$K$65,BI18&lt;Challenges!$J$65),BI18+1,BI18)),BI18))</f>
        <v/>
      </c>
      <c r="BK18" s="0" t="str">
        <f aca="false">IF($B18="","",IF(Challenges!$L$66=1,IF($B18=Challenges!$D$66,Challenges!$K$66,IF(AND(BJ18&gt;=Challenges!$K$66,BJ18&lt;Challenges!$J$66),BJ18+1,BJ18)),BJ18))</f>
        <v/>
      </c>
      <c r="BL18" s="0" t="str">
        <f aca="false">IF($B18="","",IF(Challenges!$L$67=1,IF($B18=Challenges!$D$67,Challenges!$K$67,IF(AND(BK18&gt;=Challenges!$K$67,BK18&lt;Challenges!$J$67),BK18+1,BK18)),BK18))</f>
        <v/>
      </c>
      <c r="BM18" s="0" t="str">
        <f aca="false">IF($B18="","",IF(Challenges!$L$68=1,IF($B18=Challenges!$D$68,Challenges!$K$68,IF(AND(BL18&gt;=Challenges!$K$68,BL18&lt;Challenges!$J$68),BL18+1,BL18)),BL18))</f>
        <v/>
      </c>
      <c r="BN18" s="0" t="str">
        <f aca="false">IF($B18="","",IF(Challenges!$L$69=1,IF($B18=Challenges!$D$69,Challenges!$K$69,IF(AND(BM18&gt;=Challenges!$K$69,BM18&lt;Challenges!$J$69),BM18+1,BM18)),BM18))</f>
        <v/>
      </c>
      <c r="BO18" s="0" t="str">
        <f aca="false">IF($B18="","",IF(Challenges!$L$70=1,IF($B18=Challenges!$D$70,Challenges!$K$70,IF(AND(BN18&gt;=Challenges!$K$70,BN18&lt;Challenges!$J$70),BN18+1,BN18)),BN18))</f>
        <v/>
      </c>
      <c r="BP18" s="0" t="str">
        <f aca="false">IF($B18="","",IF(Challenges!$L$71=1,IF($B18=Challenges!$D$71,Challenges!$K$71,IF(AND(BO18&gt;=Challenges!$K$71,BO18&lt;Challenges!$J$71),BO18+1,BO18)),BO18))</f>
        <v/>
      </c>
      <c r="BQ18" s="0" t="str">
        <f aca="false">IF($B18="","",IF(Challenges!$L$72=1,IF($B18=Challenges!$D$72,Challenges!$K$72,IF(AND(BP18&gt;=Challenges!$K$72,BP18&lt;Challenges!$J$72),BP18+1,BP18)),BP18))</f>
        <v/>
      </c>
      <c r="BR18" s="0" t="str">
        <f aca="false">IF($B18="","",IF(Challenges!$L$73=1,IF($B18=Challenges!$D$73,Challenges!$K$73,IF(AND(BQ18&gt;=Challenges!$K$73,BQ18&lt;Challenges!$J$73),BQ18+1,BQ18)),BQ18))</f>
        <v/>
      </c>
      <c r="BS18" s="0" t="str">
        <f aca="false">IF($B18="","",IF(Challenges!$L$74=1,IF($B18=Challenges!$D$74,Challenges!$K$74,IF(AND(BR18&gt;=Challenges!$K$74,BR18&lt;Challenges!$J$74),BR18+1,BR18)),BR18))</f>
        <v/>
      </c>
      <c r="BT18" s="0" t="str">
        <f aca="false">IF($B18="","",IF(Challenges!$L$75=1,IF($B18=Challenges!$D$75,Challenges!$K$75,IF(AND(BS18&gt;=Challenges!$K$75,BS18&lt;Challenges!$J$75),BS18+1,BS18)),BS18))</f>
        <v/>
      </c>
      <c r="BU18" s="0" t="str">
        <f aca="false">IF($B18="","",IF(Challenges!$L$76=1,IF($B18=Challenges!$D$76,Challenges!$K$76,IF(AND(BT18&gt;=Challenges!$K$76,BT18&lt;Challenges!$J$76),BT18+1,BT18)),BT18))</f>
        <v/>
      </c>
      <c r="BV18" s="0" t="str">
        <f aca="false">IF($B18="","",IF(Challenges!$L$77=1,IF($B18=Challenges!$D$77,Challenges!$K$77,IF(AND(BU18&gt;=Challenges!$K$77,BU18&lt;Challenges!$J$77),BU18+1,BU18)),BU18))</f>
        <v/>
      </c>
      <c r="BW18" s="0" t="str">
        <f aca="false">IF($B18="","",IF(Challenges!$L$78=1,IF($B18=Challenges!$D$78,Challenges!$K$78,IF(AND(BV18&gt;=Challenges!$K$78,BV18&lt;Challenges!$J$78),BV18+1,BV18)),BV18))</f>
        <v/>
      </c>
      <c r="BX18" s="0" t="str">
        <f aca="false">IF($B18="","",IF(Challenges!$L$79=1,IF($B18=Challenges!$D$79,Challenges!$K$79,IF(AND(BW18&gt;=Challenges!$K$79,BW18&lt;Challenges!$J$79),BW18+1,BW18)),BW18))</f>
        <v/>
      </c>
      <c r="BY18" s="0" t="str">
        <f aca="false">IF($B18="","",IF(Challenges!$L$80=1,IF($B18=Challenges!$D$80,Challenges!$K$80,IF(AND(BX18&gt;=Challenges!$K$80,BX18&lt;Challenges!$J$80),BX18+1,BX18)),BX18))</f>
        <v/>
      </c>
      <c r="BZ18" s="0" t="str">
        <f aca="false">IF($B18="","",IF(Challenges!$L$81=1,IF($B18=Challenges!$D$81,Challenges!$K$81,IF(AND(BY18&gt;=Challenges!$K$81,BY18&lt;Challenges!$J$81),BY18+1,BY18)),BY18))</f>
        <v/>
      </c>
      <c r="CA18" s="0" t="str">
        <f aca="false">IF($B18="","",IF(Challenges!$L$82=1,IF($B18=Challenges!$D$82,Challenges!$K$82,IF(AND(BZ18&gt;=Challenges!$K$82,BZ18&lt;Challenges!$J$82),BZ18+1,BZ18)),BZ18))</f>
        <v/>
      </c>
      <c r="CB18" s="0" t="str">
        <f aca="false">IF($B18="","",IF(Challenges!$L$83=1,IF($B18=Challenges!$D$83,Challenges!$K$83,IF(AND(CA18&gt;=Challenges!$K$83,CA18&lt;Challenges!$J$83),CA18+1,CA18)),CA18))</f>
        <v/>
      </c>
      <c r="CC18" s="0" t="str">
        <f aca="false">IF($B18="","",IF(Challenges!$L$84=1,IF($B18=Challenges!$D$84,Challenges!$K$84,IF(AND(CB18&gt;=Challenges!$K$84,CB18&lt;Challenges!$J$84),CB18+1,CB18)),CB18))</f>
        <v/>
      </c>
      <c r="CD18" s="0" t="str">
        <f aca="false">IF($B18="","",IF(Challenges!$L$85=1,IF($B18=Challenges!$D$85,Challenges!$K$85,IF(AND(CC18&gt;=Challenges!$K$85,CC18&lt;Challenges!$J$85),CC18+1,CC18)),CC18))</f>
        <v/>
      </c>
      <c r="CE18" s="0" t="str">
        <f aca="false">IF($B18="","",IF(Challenges!$L$86=1,IF($B18=Challenges!$D$86,Challenges!$K$86,IF(AND(CD18&gt;=Challenges!$K$86,CD18&lt;Challenges!$J$86),CD18+1,CD18)),CD18))</f>
        <v/>
      </c>
      <c r="CF18" s="0" t="str">
        <f aca="false">IF($B18="","",IF(Challenges!$L$87=1,IF($B18=Challenges!$D$87,Challenges!$K$87,IF(AND(CE18&gt;=Challenges!$K$87,CE18&lt;Challenges!$J$87),CE18+1,CE18)),CE18))</f>
        <v/>
      </c>
      <c r="CG18" s="0" t="str">
        <f aca="false">IF($B18="","",IF(Challenges!$L$88=1,IF($B18=Challenges!$D$88,Challenges!$K$88,IF(AND(CF18&gt;=Challenges!$K$88,CF18&lt;Challenges!$J$88),CF18+1,CF18)),CF18))</f>
        <v/>
      </c>
      <c r="CH18" s="0" t="str">
        <f aca="false">IF($B18="","",IF(Challenges!$L$89=1,IF($B18=Challenges!$D$89,Challenges!$K$89,IF(AND(CG18&gt;=Challenges!$K$89,CG18&lt;Challenges!$J$89),CG18+1,CG18)),CG18))</f>
        <v/>
      </c>
      <c r="CI18" s="0" t="str">
        <f aca="false">IF($B18="","",IF(Challenges!$L$90=1,IF($B18=Challenges!$D$90,Challenges!$K$90,IF(AND(CH18&gt;=Challenges!$K$90,CH18&lt;Challenges!$J$90),CH18+1,CH18)),CH18))</f>
        <v/>
      </c>
      <c r="CJ18" s="0" t="str">
        <f aca="false">IF($B18="","",IF(Challenges!$L$91=1,IF($B18=Challenges!$D$91,Challenges!$K$91,IF(AND(CI18&gt;=Challenges!$K$91,CI18&lt;Challenges!$J$91),CI18+1,CI18)),CI18))</f>
        <v/>
      </c>
      <c r="CK18" s="0" t="str">
        <f aca="false">IF($B18="","",IF(Challenges!$L$92=1,IF($B18=Challenges!$D$92,Challenges!$K$92,IF(AND(CJ18&gt;=Challenges!$K$92,CJ18&lt;Challenges!$J$92),CJ18+1,CJ18)),CJ18))</f>
        <v/>
      </c>
      <c r="CL18" s="0" t="str">
        <f aca="false">IF($B18="","",IF(Challenges!$L$93=1,IF($B18=Challenges!$D$93,Challenges!$K$93,IF(AND(CK18&gt;=Challenges!$K$93,CK18&lt;Challenges!$J$93),CK18+1,CK18)),CK18))</f>
        <v/>
      </c>
      <c r="CM18" s="0" t="str">
        <f aca="false">IF($B18="","",IF(Challenges!$L$94=1,IF($B18=Challenges!$D$94,Challenges!$K$94,IF(AND(CL18&gt;=Challenges!$K$94,CL18&lt;Challenges!$J$94),CL18+1,CL18)),CL18))</f>
        <v/>
      </c>
      <c r="CN18" s="0" t="str">
        <f aca="false">IF($B18="","",IF(Challenges!$L$95=1,IF($B18=Challenges!$D$95,Challenges!$K$95,IF(AND(CM18&gt;=Challenges!$K$95,CM18&lt;Challenges!$J$95),CM18+1,CM18)),CM18))</f>
        <v/>
      </c>
      <c r="CO18" s="0" t="str">
        <f aca="false">IF($B18="","",IF(Challenges!$L$96=1,IF($B18=Challenges!$D$96,Challenges!$K$96,IF(AND(CN18&gt;=Challenges!$K$96,CN18&lt;Challenges!$J$96),CN18+1,CN18)),CN18))</f>
        <v/>
      </c>
      <c r="CP18" s="0" t="str">
        <f aca="false">IF($B18="","",IF(Challenges!$L$97=1,IF($B18=Challenges!$D$97,Challenges!$K$97,IF(AND(CO18&gt;=Challenges!$K$97,CO18&lt;Challenges!$J$97),CO18+1,CO18)),CO18))</f>
        <v/>
      </c>
      <c r="CQ18" s="0" t="str">
        <f aca="false">IF($B18="","",IF(Challenges!$L$98=1,IF($B18=Challenges!$D$98,Challenges!$K$98,IF(AND(CP18&gt;=Challenges!$K$98,CP18&lt;Challenges!$J$98),CP18+1,CP18)),CP18))</f>
        <v/>
      </c>
      <c r="CR18" s="0" t="str">
        <f aca="false">IF($B18="","",IF(Challenges!$L$99=1,IF($B18=Challenges!$D$99,Challenges!$K$99,IF(AND(CQ18&gt;=Challenges!$K$99,CQ18&lt;Challenges!$J$99),CQ18+1,CQ18)),CQ18))</f>
        <v/>
      </c>
      <c r="CS18" s="0" t="str">
        <f aca="false">IF($B18="","",IF(Challenges!$L$100=1,IF($B18=Challenges!$D$100,Challenges!$K$100,IF(AND(CR18&gt;=Challenges!$K$100,CR18&lt;Challenges!$J$100),CR18+1,CR18)),CR18))</f>
        <v/>
      </c>
      <c r="CT18" s="0" t="str">
        <f aca="false">IF($B18="","",IF(Challenges!$L$101=1,IF($B18=Challenges!$D$101,Challenges!$K$101,IF(AND(CS18&gt;=Challenges!$K$101,CS18&lt;Challenges!$J$101),CS18+1,CS18)),CS18))</f>
        <v/>
      </c>
      <c r="CU18" s="0" t="str">
        <f aca="false">IF($B18="","",IF(Challenges!$L$102=1,IF($B18=Challenges!$D$102,Challenges!$K$102,IF(AND(CT18&gt;=Challenges!$K$102,CT18&lt;Challenges!$J$102),CT18+1,CT18)),CT18))</f>
        <v/>
      </c>
      <c r="CV18" s="0" t="str">
        <f aca="false">IF($B18="","",IF(Challenges!$L$103=1,IF($B18=Challenges!$D$103,Challenges!$K$103,IF(AND(CU18&gt;=Challenges!$K$103,CU18&lt;Challenges!$J$103),CU18+1,CU18)),CU18))</f>
        <v/>
      </c>
      <c r="CW18" s="0" t="str">
        <f aca="false">IF($B18="","",IF(Challenges!$L$104=1,IF($B18=Challenges!$D$104,Challenges!$K$104,IF(AND(CV18&gt;=Challenges!$K$104,CV18&lt;Challenges!$J$104),CV18+1,CV18)),CV18))</f>
        <v/>
      </c>
      <c r="CX18" s="0" t="str">
        <f aca="false">IF($B18="","",IF(Challenges!$L$105=1,IF($B18=Challenges!$D$105,Challenges!$K$105,IF(AND(CW18&gt;=Challenges!$K$105,CW18&lt;Challenges!$J$105),CW18+1,CW18)),CW18))</f>
        <v/>
      </c>
      <c r="CY18" s="0" t="str">
        <f aca="false">IF($B18="","",IF(Challenges!$L$106=1,IF($B18=Challenges!$D$106,Challenges!$K$106,IF(AND(CX18&gt;=Challenges!$K$106,CX18&lt;Challenges!$J$106),CX18+1,CX18)),CX18))</f>
        <v/>
      </c>
    </row>
    <row r="19" customFormat="false" ht="15" hidden="false" customHeight="false" outlineLevel="0" collapsed="false">
      <c r="B19" s="0" t="str">
        <f aca="false">IF(Ladder!$C19="","",Ladder!$C19)</f>
        <v/>
      </c>
      <c r="C19" s="0" t="str">
        <f aca="false">IF($B19="","",ROW()-6)</f>
        <v/>
      </c>
      <c r="D19" s="0" t="str">
        <f aca="false">IF($B19="","",IF(Challenges!$L$7=1,IF($B19=Challenges!$D$7,Challenges!$K$7,IF(AND(C19&gt;=Challenges!$K$7,C19&lt;Challenges!$J$7),C19+1,C19)),C19))</f>
        <v/>
      </c>
      <c r="E19" s="0" t="str">
        <f aca="false">IF($B19="","",IF(Challenges!$L$8=1,IF($B19=Challenges!$D$8,Challenges!$K$8,IF(AND(D19&gt;=Challenges!$K$8,D19&lt;Challenges!$J$8),D19+1,D19)),D19))</f>
        <v/>
      </c>
      <c r="F19" s="0" t="str">
        <f aca="false">IF($B19="","",IF(Challenges!$L$9=1,IF($B19=Challenges!$D$9,Challenges!$K$9,IF(AND(E19&gt;=Challenges!$K$9,E19&lt;Challenges!$J$9),E19+1,E19)),E19))</f>
        <v/>
      </c>
      <c r="G19" s="0" t="str">
        <f aca="false">IF($B19="","",IF(Challenges!$L$10=1,IF($B19=Challenges!$D$10,Challenges!$K$10,IF(AND(F19&gt;=Challenges!$K$10,F19&lt;Challenges!$J$10),F19+1,F19)),F19))</f>
        <v/>
      </c>
      <c r="H19" s="0" t="str">
        <f aca="false">IF($B19="","",IF(Challenges!$L$11=1,IF($B19=Challenges!$D$11,Challenges!$K$11,IF(AND(G19&gt;=Challenges!$K$11,G19&lt;Challenges!$J$11),G19+1,G19)),G19))</f>
        <v/>
      </c>
      <c r="I19" s="0" t="str">
        <f aca="false">IF($B19="","",IF(Challenges!$L$12=1,IF($B19=Challenges!$D$12,Challenges!$K$12,IF(AND(H19&gt;=Challenges!$K$12,H19&lt;Challenges!$J$12),H19+1,H19)),H19))</f>
        <v/>
      </c>
      <c r="J19" s="0" t="str">
        <f aca="false">IF($B19="","",IF(Challenges!$L$13=1,IF($B19=Challenges!$D$13,Challenges!$K$13,IF(AND(I19&gt;=Challenges!$K$13,I19&lt;Challenges!$J$13),I19+1,I19)),I19))</f>
        <v/>
      </c>
      <c r="K19" s="0" t="str">
        <f aca="false">IF($B19="","",IF(Challenges!$L$14=1,IF($B19=Challenges!$D$14,Challenges!$K$14,IF(AND(J19&gt;=Challenges!$K$14,J19&lt;Challenges!$J$14),J19+1,J19)),J19))</f>
        <v/>
      </c>
      <c r="L19" s="0" t="str">
        <f aca="false">IF($B19="","",IF(Challenges!$L$15=1,IF($B19=Challenges!$D$15,Challenges!$K$15,IF(AND(K19&gt;=Challenges!$K$15,K19&lt;Challenges!$J$15),K19+1,K19)),K19))</f>
        <v/>
      </c>
      <c r="M19" s="0" t="str">
        <f aca="false">IF($B19="","",IF(Challenges!$L$16=1,IF($B19=Challenges!$D$16,Challenges!$K$16,IF(AND(L19&gt;=Challenges!$K$16,L19&lt;Challenges!$J$16),L19+1,L19)),L19))</f>
        <v/>
      </c>
      <c r="N19" s="0" t="str">
        <f aca="false">IF($B19="","",IF(Challenges!$L$17=1,IF($B19=Challenges!$D$17,Challenges!$K$17,IF(AND(M19&gt;=Challenges!$K$17,M19&lt;Challenges!$J$17),M19+1,M19)),M19))</f>
        <v/>
      </c>
      <c r="O19" s="0" t="str">
        <f aca="false">IF($B19="","",IF(Challenges!$L$18=1,IF($B19=Challenges!$D$18,Challenges!$K$18,IF(AND(N19&gt;=Challenges!$K$18,N19&lt;Challenges!$J$18),N19+1,N19)),N19))</f>
        <v/>
      </c>
      <c r="P19" s="0" t="str">
        <f aca="false">IF($B19="","",IF(Challenges!$L$19=1,IF($B19=Challenges!$D$19,Challenges!$K$19,IF(AND(O19&gt;=Challenges!$K$19,O19&lt;Challenges!$J$19),O19+1,O19)),O19))</f>
        <v/>
      </c>
      <c r="Q19" s="0" t="str">
        <f aca="false">IF($B19="","",IF(Challenges!$L$20=1,IF($B19=Challenges!$D$20,Challenges!$K$20,IF(AND(P19&gt;=Challenges!$K$20,P19&lt;Challenges!$J$20),P19+1,P19)),P19))</f>
        <v/>
      </c>
      <c r="R19" s="0" t="str">
        <f aca="false">IF($B19="","",IF(Challenges!$L$21=1,IF($B19=Challenges!$D$21,Challenges!$K$21,IF(AND(Q19&gt;=Challenges!$K$21,Q19&lt;Challenges!$J$21),Q19+1,Q19)),Q19))</f>
        <v/>
      </c>
      <c r="S19" s="0" t="str">
        <f aca="false">IF($B19="","",IF(Challenges!$L$22=1,IF($B19=Challenges!$D$22,Challenges!$K$22,IF(AND(R19&gt;=Challenges!$K$22,R19&lt;Challenges!$J$22),R19+1,R19)),R19))</f>
        <v/>
      </c>
      <c r="T19" s="0" t="str">
        <f aca="false">IF($B19="","",IF(Challenges!$L$23=1,IF($B19=Challenges!$D$23,Challenges!$K$23,IF(AND(S19&gt;=Challenges!$K$23,S19&lt;Challenges!$J$23),S19+1,S19)),S19))</f>
        <v/>
      </c>
      <c r="U19" s="0" t="str">
        <f aca="false">IF($B19="","",IF(Challenges!$L$24=1,IF($B19=Challenges!$D$24,Challenges!$K$24,IF(AND(T19&gt;=Challenges!$K$24,T19&lt;Challenges!$J$24),T19+1,T19)),T19))</f>
        <v/>
      </c>
      <c r="V19" s="0" t="str">
        <f aca="false">IF($B19="","",IF(Challenges!$L$25=1,IF($B19=Challenges!$D$25,Challenges!$K$25,IF(AND(U19&gt;=Challenges!$K$25,U19&lt;Challenges!$J$25),U19+1,U19)),U19))</f>
        <v/>
      </c>
      <c r="W19" s="0" t="str">
        <f aca="false">IF($B19="","",IF(Challenges!$L$26=1,IF($B19=Challenges!$D$26,Challenges!$K$26,IF(AND(V19&gt;=Challenges!$K$26,V19&lt;Challenges!$J$26),V19+1,V19)),V19))</f>
        <v/>
      </c>
      <c r="X19" s="0" t="str">
        <f aca="false">IF($B19="","",IF(Challenges!$L$27=1,IF($B19=Challenges!$D$27,Challenges!$K$27,IF(AND(W19&gt;=Challenges!$K$27,W19&lt;Challenges!$J$27),W19+1,W19)),W19))</f>
        <v/>
      </c>
      <c r="Y19" s="0" t="str">
        <f aca="false">IF($B19="","",IF(Challenges!$L$28=1,IF($B19=Challenges!$D$28,Challenges!$K$28,IF(AND(X19&gt;=Challenges!$K$28,X19&lt;Challenges!$J$28),X19+1,X19)),X19))</f>
        <v/>
      </c>
      <c r="Z19" s="0" t="str">
        <f aca="false">IF($B19="","",IF(Challenges!$L$29=1,IF($B19=Challenges!$D$29,Challenges!$K$29,IF(AND(Y19&gt;=Challenges!$K$29,Y19&lt;Challenges!$J$29),Y19+1,Y19)),Y19))</f>
        <v/>
      </c>
      <c r="AA19" s="0" t="str">
        <f aca="false">IF($B19="","",IF(Challenges!$L$30=1,IF($B19=Challenges!$D$30,Challenges!$K$30,IF(AND(Z19&gt;=Challenges!$K$30,Z19&lt;Challenges!$J$30),Z19+1,Z19)),Z19))</f>
        <v/>
      </c>
      <c r="AB19" s="0" t="str">
        <f aca="false">IF($B19="","",IF(Challenges!$L$31=1,IF($B19=Challenges!$D$31,Challenges!$K$31,IF(AND(AA19&gt;=Challenges!$K$31,AA19&lt;Challenges!$J$31),AA19+1,AA19)),AA19))</f>
        <v/>
      </c>
      <c r="AC19" s="0" t="str">
        <f aca="false">IF($B19="","",IF(Challenges!$L$32=1,IF($B19=Challenges!$D$32,Challenges!$K$32,IF(AND(AB19&gt;=Challenges!$K$32,AB19&lt;Challenges!$J$32),AB19+1,AB19)),AB19))</f>
        <v/>
      </c>
      <c r="AD19" s="0" t="str">
        <f aca="false">IF($B19="","",IF(Challenges!$L$33=1,IF($B19=Challenges!$D$33,Challenges!$K$33,IF(AND(AC19&gt;=Challenges!$K$33,AC19&lt;Challenges!$J$33),AC19+1,AC19)),AC19))</f>
        <v/>
      </c>
      <c r="AE19" s="0" t="str">
        <f aca="false">IF($B19="","",IF(Challenges!$L$34=1,IF($B19=Challenges!$D$34,Challenges!$K$34,IF(AND(AD19&gt;=Challenges!$K$34,AD19&lt;Challenges!$J$34),AD19+1,AD19)),AD19))</f>
        <v/>
      </c>
      <c r="AF19" s="0" t="str">
        <f aca="false">IF($B19="","",IF(Challenges!$L$35=1,IF($B19=Challenges!$D$35,Challenges!$K$35,IF(AND(AE19&gt;=Challenges!$K$35,AE19&lt;Challenges!$J$35),AE19+1,AE19)),AE19))</f>
        <v/>
      </c>
      <c r="AG19" s="0" t="str">
        <f aca="false">IF($B19="","",IF(Challenges!$L$36=1,IF($B19=Challenges!$D$36,Challenges!$K$36,IF(AND(AF19&gt;=Challenges!$K$36,AF19&lt;Challenges!$J$36),AF19+1,AF19)),AF19))</f>
        <v/>
      </c>
      <c r="AH19" s="0" t="str">
        <f aca="false">IF($B19="","",IF(Challenges!$L$37=1,IF($B19=Challenges!$D$37,Challenges!$K$37,IF(AND(AG19&gt;=Challenges!$K$37,AG19&lt;Challenges!$J$37),AG19+1,AG19)),AG19))</f>
        <v/>
      </c>
      <c r="AI19" s="0" t="str">
        <f aca="false">IF($B19="","",IF(Challenges!$L$38=1,IF($B19=Challenges!$D$38,Challenges!$K$38,IF(AND(AH19&gt;=Challenges!$K$38,AH19&lt;Challenges!$J$38),AH19+1,AH19)),AH19))</f>
        <v/>
      </c>
      <c r="AJ19" s="0" t="str">
        <f aca="false">IF($B19="","",IF(Challenges!$L$39=1,IF($B19=Challenges!$D$39,Challenges!$K$39,IF(AND(AI19&gt;=Challenges!$K$39,AI19&lt;Challenges!$J$39),AI19+1,AI19)),AI19))</f>
        <v/>
      </c>
      <c r="AK19" s="0" t="str">
        <f aca="false">IF($B19="","",IF(Challenges!$L$40=1,IF($B19=Challenges!$D$40,Challenges!$K$40,IF(AND(AJ19&gt;=Challenges!$K$40,AJ19&lt;Challenges!$J$40),AJ19+1,AJ19)),AJ19))</f>
        <v/>
      </c>
      <c r="AL19" s="0" t="str">
        <f aca="false">IF($B19="","",IF(Challenges!$L$41=1,IF($B19=Challenges!$D$41,Challenges!$K$41,IF(AND(AK19&gt;=Challenges!$K$41,AK19&lt;Challenges!$J$41),AK19+1,AK19)),AK19))</f>
        <v/>
      </c>
      <c r="AM19" s="0" t="str">
        <f aca="false">IF($B19="","",IF(Challenges!$L$42=1,IF($B19=Challenges!$D$42,Challenges!$K$42,IF(AND(AL19&gt;=Challenges!$K$42,AL19&lt;Challenges!$J$42),AL19+1,AL19)),AL19))</f>
        <v/>
      </c>
      <c r="AN19" s="0" t="str">
        <f aca="false">IF($B19="","",IF(Challenges!$L$43=1,IF($B19=Challenges!$D$43,Challenges!$K$43,IF(AND(AM19&gt;=Challenges!$K$43,AM19&lt;Challenges!$J$43),AM19+1,AM19)),AM19))</f>
        <v/>
      </c>
      <c r="AO19" s="0" t="str">
        <f aca="false">IF($B19="","",IF(Challenges!$L$44=1,IF($B19=Challenges!$D$44,Challenges!$K$44,IF(AND(AN19&gt;=Challenges!$K$44,AN19&lt;Challenges!$J$44),AN19+1,AN19)),AN19))</f>
        <v/>
      </c>
      <c r="AP19" s="0" t="str">
        <f aca="false">IF($B19="","",IF(Challenges!$L$45=1,IF($B19=Challenges!$D$45,Challenges!$K$45,IF(AND(AO19&gt;=Challenges!$K$45,AO19&lt;Challenges!$J$45),AO19+1,AO19)),AO19))</f>
        <v/>
      </c>
      <c r="AQ19" s="0" t="str">
        <f aca="false">IF($B19="","",IF(Challenges!$L$46=1,IF($B19=Challenges!$D$46,Challenges!$K$46,IF(AND(AP19&gt;=Challenges!$K$46,AP19&lt;Challenges!$J$46),AP19+1,AP19)),AP19))</f>
        <v/>
      </c>
      <c r="AR19" s="0" t="str">
        <f aca="false">IF($B19="","",IF(Challenges!$L$47=1,IF($B19=Challenges!$D$47,Challenges!$K$47,IF(AND(AQ19&gt;=Challenges!$K$47,AQ19&lt;Challenges!$J$47),AQ19+1,AQ19)),AQ19))</f>
        <v/>
      </c>
      <c r="AS19" s="0" t="str">
        <f aca="false">IF($B19="","",IF(Challenges!$L$48=1,IF($B19=Challenges!$D$48,Challenges!$K$48,IF(AND(AR19&gt;=Challenges!$K$48,AR19&lt;Challenges!$J$48),AR19+1,AR19)),AR19))</f>
        <v/>
      </c>
      <c r="AT19" s="0" t="str">
        <f aca="false">IF($B19="","",IF(Challenges!$L$49=1,IF($B19=Challenges!$D$49,Challenges!$K$49,IF(AND(AS19&gt;=Challenges!$K$49,AS19&lt;Challenges!$J$49),AS19+1,AS19)),AS19))</f>
        <v/>
      </c>
      <c r="AU19" s="0" t="str">
        <f aca="false">IF($B19="","",IF(Challenges!$L$50=1,IF($B19=Challenges!$D$50,Challenges!$K$50,IF(AND(AT19&gt;=Challenges!$K$50,AT19&lt;Challenges!$J$50),AT19+1,AT19)),AT19))</f>
        <v/>
      </c>
      <c r="AV19" s="0" t="str">
        <f aca="false">IF($B19="","",IF(Challenges!$L$51=1,IF($B19=Challenges!$D$51,Challenges!$K$51,IF(AND(AU19&gt;=Challenges!$K$51,AU19&lt;Challenges!$J$51),AU19+1,AU19)),AU19))</f>
        <v/>
      </c>
      <c r="AW19" s="0" t="str">
        <f aca="false">IF($B19="","",IF(Challenges!$L$52=1,IF($B19=Challenges!$D$52,Challenges!$K$52,IF(AND(AV19&gt;=Challenges!$K$52,AV19&lt;Challenges!$J$52),AV19+1,AV19)),AV19))</f>
        <v/>
      </c>
      <c r="AX19" s="0" t="str">
        <f aca="false">IF($B19="","",IF(Challenges!$L$53=1,IF($B19=Challenges!$D$53,Challenges!$K$53,IF(AND(AW19&gt;=Challenges!$K$53,AW19&lt;Challenges!$J$53),AW19+1,AW19)),AW19))</f>
        <v/>
      </c>
      <c r="AY19" s="0" t="str">
        <f aca="false">IF($B19="","",IF(Challenges!$L$54=1,IF($B19=Challenges!$D$54,Challenges!$K$54,IF(AND(AX19&gt;=Challenges!$K$54,AX19&lt;Challenges!$J$54),AX19+1,AX19)),AX19))</f>
        <v/>
      </c>
      <c r="AZ19" s="0" t="str">
        <f aca="false">IF($B19="","",IF(Challenges!$L$55=1,IF($B19=Challenges!$D$55,Challenges!$K$55,IF(AND(AY19&gt;=Challenges!$K$55,AY19&lt;Challenges!$J$55),AY19+1,AY19)),AY19))</f>
        <v/>
      </c>
      <c r="BA19" s="0" t="str">
        <f aca="false">IF($B19="","",IF(Challenges!$L$56=1,IF($B19=Challenges!$D$56,Challenges!$K$56,IF(AND(AZ19&gt;=Challenges!$K$56,AZ19&lt;Challenges!$J$56),AZ19+1,AZ19)),AZ19))</f>
        <v/>
      </c>
      <c r="BB19" s="0" t="str">
        <f aca="false">IF($B19="","",IF(Challenges!$L$57=1,IF($B19=Challenges!$D$57,Challenges!$K$57,IF(AND(BA19&gt;=Challenges!$K$57,BA19&lt;Challenges!$J$57),BA19+1,BA19)),BA19))</f>
        <v/>
      </c>
      <c r="BC19" s="0" t="str">
        <f aca="false">IF($B19="","",IF(Challenges!$L$58=1,IF($B19=Challenges!$D$58,Challenges!$K$58,IF(AND(BB19&gt;=Challenges!$K$58,BB19&lt;Challenges!$J$58),BB19+1,BB19)),BB19))</f>
        <v/>
      </c>
      <c r="BD19" s="0" t="str">
        <f aca="false">IF($B19="","",IF(Challenges!$L$59=1,IF($B19=Challenges!$D$59,Challenges!$K$59,IF(AND(BC19&gt;=Challenges!$K$59,BC19&lt;Challenges!$J$59),BC19+1,BC19)),BC19))</f>
        <v/>
      </c>
      <c r="BE19" s="0" t="str">
        <f aca="false">IF($B19="","",IF(Challenges!$L$60=1,IF($B19=Challenges!$D$60,Challenges!$K$60,IF(AND(BD19&gt;=Challenges!$K$60,BD19&lt;Challenges!$J$60),BD19+1,BD19)),BD19))</f>
        <v/>
      </c>
      <c r="BF19" s="0" t="str">
        <f aca="false">IF($B19="","",IF(Challenges!$L$61=1,IF($B19=Challenges!$D$61,Challenges!$K$61,IF(AND(BE19&gt;=Challenges!$K$61,BE19&lt;Challenges!$J$61),BE19+1,BE19)),BE19))</f>
        <v/>
      </c>
      <c r="BG19" s="0" t="str">
        <f aca="false">IF($B19="","",IF(Challenges!$L$62=1,IF($B19=Challenges!$D$62,Challenges!$K$62,IF(AND(BF19&gt;=Challenges!$K$62,BF19&lt;Challenges!$J$62),BF19+1,BF19)),BF19))</f>
        <v/>
      </c>
      <c r="BH19" s="0" t="str">
        <f aca="false">IF($B19="","",IF(Challenges!$L$63=1,IF($B19=Challenges!$D$63,Challenges!$K$63,IF(AND(BG19&gt;=Challenges!$K$63,BG19&lt;Challenges!$J$63),BG19+1,BG19)),BG19))</f>
        <v/>
      </c>
      <c r="BI19" s="0" t="str">
        <f aca="false">IF($B19="","",IF(Challenges!$L$64=1,IF($B19=Challenges!$D$64,Challenges!$K$64,IF(AND(BH19&gt;=Challenges!$K$64,BH19&lt;Challenges!$J$64),BH19+1,BH19)),BH19))</f>
        <v/>
      </c>
      <c r="BJ19" s="0" t="str">
        <f aca="false">IF($B19="","",IF(Challenges!$L$65=1,IF($B19=Challenges!$D$65,Challenges!$K$65,IF(AND(BI19&gt;=Challenges!$K$65,BI19&lt;Challenges!$J$65),BI19+1,BI19)),BI19))</f>
        <v/>
      </c>
      <c r="BK19" s="0" t="str">
        <f aca="false">IF($B19="","",IF(Challenges!$L$66=1,IF($B19=Challenges!$D$66,Challenges!$K$66,IF(AND(BJ19&gt;=Challenges!$K$66,BJ19&lt;Challenges!$J$66),BJ19+1,BJ19)),BJ19))</f>
        <v/>
      </c>
      <c r="BL19" s="0" t="str">
        <f aca="false">IF($B19="","",IF(Challenges!$L$67=1,IF($B19=Challenges!$D$67,Challenges!$K$67,IF(AND(BK19&gt;=Challenges!$K$67,BK19&lt;Challenges!$J$67),BK19+1,BK19)),BK19))</f>
        <v/>
      </c>
      <c r="BM19" s="0" t="str">
        <f aca="false">IF($B19="","",IF(Challenges!$L$68=1,IF($B19=Challenges!$D$68,Challenges!$K$68,IF(AND(BL19&gt;=Challenges!$K$68,BL19&lt;Challenges!$J$68),BL19+1,BL19)),BL19))</f>
        <v/>
      </c>
      <c r="BN19" s="0" t="str">
        <f aca="false">IF($B19="","",IF(Challenges!$L$69=1,IF($B19=Challenges!$D$69,Challenges!$K$69,IF(AND(BM19&gt;=Challenges!$K$69,BM19&lt;Challenges!$J$69),BM19+1,BM19)),BM19))</f>
        <v/>
      </c>
      <c r="BO19" s="0" t="str">
        <f aca="false">IF($B19="","",IF(Challenges!$L$70=1,IF($B19=Challenges!$D$70,Challenges!$K$70,IF(AND(BN19&gt;=Challenges!$K$70,BN19&lt;Challenges!$J$70),BN19+1,BN19)),BN19))</f>
        <v/>
      </c>
      <c r="BP19" s="0" t="str">
        <f aca="false">IF($B19="","",IF(Challenges!$L$71=1,IF($B19=Challenges!$D$71,Challenges!$K$71,IF(AND(BO19&gt;=Challenges!$K$71,BO19&lt;Challenges!$J$71),BO19+1,BO19)),BO19))</f>
        <v/>
      </c>
      <c r="BQ19" s="0" t="str">
        <f aca="false">IF($B19="","",IF(Challenges!$L$72=1,IF($B19=Challenges!$D$72,Challenges!$K$72,IF(AND(BP19&gt;=Challenges!$K$72,BP19&lt;Challenges!$J$72),BP19+1,BP19)),BP19))</f>
        <v/>
      </c>
      <c r="BR19" s="0" t="str">
        <f aca="false">IF($B19="","",IF(Challenges!$L$73=1,IF($B19=Challenges!$D$73,Challenges!$K$73,IF(AND(BQ19&gt;=Challenges!$K$73,BQ19&lt;Challenges!$J$73),BQ19+1,BQ19)),BQ19))</f>
        <v/>
      </c>
      <c r="BS19" s="0" t="str">
        <f aca="false">IF($B19="","",IF(Challenges!$L$74=1,IF($B19=Challenges!$D$74,Challenges!$K$74,IF(AND(BR19&gt;=Challenges!$K$74,BR19&lt;Challenges!$J$74),BR19+1,BR19)),BR19))</f>
        <v/>
      </c>
      <c r="BT19" s="0" t="str">
        <f aca="false">IF($B19="","",IF(Challenges!$L$75=1,IF($B19=Challenges!$D$75,Challenges!$K$75,IF(AND(BS19&gt;=Challenges!$K$75,BS19&lt;Challenges!$J$75),BS19+1,BS19)),BS19))</f>
        <v/>
      </c>
      <c r="BU19" s="0" t="str">
        <f aca="false">IF($B19="","",IF(Challenges!$L$76=1,IF($B19=Challenges!$D$76,Challenges!$K$76,IF(AND(BT19&gt;=Challenges!$K$76,BT19&lt;Challenges!$J$76),BT19+1,BT19)),BT19))</f>
        <v/>
      </c>
      <c r="BV19" s="0" t="str">
        <f aca="false">IF($B19="","",IF(Challenges!$L$77=1,IF($B19=Challenges!$D$77,Challenges!$K$77,IF(AND(BU19&gt;=Challenges!$K$77,BU19&lt;Challenges!$J$77),BU19+1,BU19)),BU19))</f>
        <v/>
      </c>
      <c r="BW19" s="0" t="str">
        <f aca="false">IF($B19="","",IF(Challenges!$L$78=1,IF($B19=Challenges!$D$78,Challenges!$K$78,IF(AND(BV19&gt;=Challenges!$K$78,BV19&lt;Challenges!$J$78),BV19+1,BV19)),BV19))</f>
        <v/>
      </c>
      <c r="BX19" s="0" t="str">
        <f aca="false">IF($B19="","",IF(Challenges!$L$79=1,IF($B19=Challenges!$D$79,Challenges!$K$79,IF(AND(BW19&gt;=Challenges!$K$79,BW19&lt;Challenges!$J$79),BW19+1,BW19)),BW19))</f>
        <v/>
      </c>
      <c r="BY19" s="0" t="str">
        <f aca="false">IF($B19="","",IF(Challenges!$L$80=1,IF($B19=Challenges!$D$80,Challenges!$K$80,IF(AND(BX19&gt;=Challenges!$K$80,BX19&lt;Challenges!$J$80),BX19+1,BX19)),BX19))</f>
        <v/>
      </c>
      <c r="BZ19" s="0" t="str">
        <f aca="false">IF($B19="","",IF(Challenges!$L$81=1,IF($B19=Challenges!$D$81,Challenges!$K$81,IF(AND(BY19&gt;=Challenges!$K$81,BY19&lt;Challenges!$J$81),BY19+1,BY19)),BY19))</f>
        <v/>
      </c>
      <c r="CA19" s="0" t="str">
        <f aca="false">IF($B19="","",IF(Challenges!$L$82=1,IF($B19=Challenges!$D$82,Challenges!$K$82,IF(AND(BZ19&gt;=Challenges!$K$82,BZ19&lt;Challenges!$J$82),BZ19+1,BZ19)),BZ19))</f>
        <v/>
      </c>
      <c r="CB19" s="0" t="str">
        <f aca="false">IF($B19="","",IF(Challenges!$L$83=1,IF($B19=Challenges!$D$83,Challenges!$K$83,IF(AND(CA19&gt;=Challenges!$K$83,CA19&lt;Challenges!$J$83),CA19+1,CA19)),CA19))</f>
        <v/>
      </c>
      <c r="CC19" s="0" t="str">
        <f aca="false">IF($B19="","",IF(Challenges!$L$84=1,IF($B19=Challenges!$D$84,Challenges!$K$84,IF(AND(CB19&gt;=Challenges!$K$84,CB19&lt;Challenges!$J$84),CB19+1,CB19)),CB19))</f>
        <v/>
      </c>
      <c r="CD19" s="0" t="str">
        <f aca="false">IF($B19="","",IF(Challenges!$L$85=1,IF($B19=Challenges!$D$85,Challenges!$K$85,IF(AND(CC19&gt;=Challenges!$K$85,CC19&lt;Challenges!$J$85),CC19+1,CC19)),CC19))</f>
        <v/>
      </c>
      <c r="CE19" s="0" t="str">
        <f aca="false">IF($B19="","",IF(Challenges!$L$86=1,IF($B19=Challenges!$D$86,Challenges!$K$86,IF(AND(CD19&gt;=Challenges!$K$86,CD19&lt;Challenges!$J$86),CD19+1,CD19)),CD19))</f>
        <v/>
      </c>
      <c r="CF19" s="0" t="str">
        <f aca="false">IF($B19="","",IF(Challenges!$L$87=1,IF($B19=Challenges!$D$87,Challenges!$K$87,IF(AND(CE19&gt;=Challenges!$K$87,CE19&lt;Challenges!$J$87),CE19+1,CE19)),CE19))</f>
        <v/>
      </c>
      <c r="CG19" s="0" t="str">
        <f aca="false">IF($B19="","",IF(Challenges!$L$88=1,IF($B19=Challenges!$D$88,Challenges!$K$88,IF(AND(CF19&gt;=Challenges!$K$88,CF19&lt;Challenges!$J$88),CF19+1,CF19)),CF19))</f>
        <v/>
      </c>
      <c r="CH19" s="0" t="str">
        <f aca="false">IF($B19="","",IF(Challenges!$L$89=1,IF($B19=Challenges!$D$89,Challenges!$K$89,IF(AND(CG19&gt;=Challenges!$K$89,CG19&lt;Challenges!$J$89),CG19+1,CG19)),CG19))</f>
        <v/>
      </c>
      <c r="CI19" s="0" t="str">
        <f aca="false">IF($B19="","",IF(Challenges!$L$90=1,IF($B19=Challenges!$D$90,Challenges!$K$90,IF(AND(CH19&gt;=Challenges!$K$90,CH19&lt;Challenges!$J$90),CH19+1,CH19)),CH19))</f>
        <v/>
      </c>
      <c r="CJ19" s="0" t="str">
        <f aca="false">IF($B19="","",IF(Challenges!$L$91=1,IF($B19=Challenges!$D$91,Challenges!$K$91,IF(AND(CI19&gt;=Challenges!$K$91,CI19&lt;Challenges!$J$91),CI19+1,CI19)),CI19))</f>
        <v/>
      </c>
      <c r="CK19" s="0" t="str">
        <f aca="false">IF($B19="","",IF(Challenges!$L$92=1,IF($B19=Challenges!$D$92,Challenges!$K$92,IF(AND(CJ19&gt;=Challenges!$K$92,CJ19&lt;Challenges!$J$92),CJ19+1,CJ19)),CJ19))</f>
        <v/>
      </c>
      <c r="CL19" s="0" t="str">
        <f aca="false">IF($B19="","",IF(Challenges!$L$93=1,IF($B19=Challenges!$D$93,Challenges!$K$93,IF(AND(CK19&gt;=Challenges!$K$93,CK19&lt;Challenges!$J$93),CK19+1,CK19)),CK19))</f>
        <v/>
      </c>
      <c r="CM19" s="0" t="str">
        <f aca="false">IF($B19="","",IF(Challenges!$L$94=1,IF($B19=Challenges!$D$94,Challenges!$K$94,IF(AND(CL19&gt;=Challenges!$K$94,CL19&lt;Challenges!$J$94),CL19+1,CL19)),CL19))</f>
        <v/>
      </c>
      <c r="CN19" s="0" t="str">
        <f aca="false">IF($B19="","",IF(Challenges!$L$95=1,IF($B19=Challenges!$D$95,Challenges!$K$95,IF(AND(CM19&gt;=Challenges!$K$95,CM19&lt;Challenges!$J$95),CM19+1,CM19)),CM19))</f>
        <v/>
      </c>
      <c r="CO19" s="0" t="str">
        <f aca="false">IF($B19="","",IF(Challenges!$L$96=1,IF($B19=Challenges!$D$96,Challenges!$K$96,IF(AND(CN19&gt;=Challenges!$K$96,CN19&lt;Challenges!$J$96),CN19+1,CN19)),CN19))</f>
        <v/>
      </c>
      <c r="CP19" s="0" t="str">
        <f aca="false">IF($B19="","",IF(Challenges!$L$97=1,IF($B19=Challenges!$D$97,Challenges!$K$97,IF(AND(CO19&gt;=Challenges!$K$97,CO19&lt;Challenges!$J$97),CO19+1,CO19)),CO19))</f>
        <v/>
      </c>
      <c r="CQ19" s="0" t="str">
        <f aca="false">IF($B19="","",IF(Challenges!$L$98=1,IF($B19=Challenges!$D$98,Challenges!$K$98,IF(AND(CP19&gt;=Challenges!$K$98,CP19&lt;Challenges!$J$98),CP19+1,CP19)),CP19))</f>
        <v/>
      </c>
      <c r="CR19" s="0" t="str">
        <f aca="false">IF($B19="","",IF(Challenges!$L$99=1,IF($B19=Challenges!$D$99,Challenges!$K$99,IF(AND(CQ19&gt;=Challenges!$K$99,CQ19&lt;Challenges!$J$99),CQ19+1,CQ19)),CQ19))</f>
        <v/>
      </c>
      <c r="CS19" s="0" t="str">
        <f aca="false">IF($B19="","",IF(Challenges!$L$100=1,IF($B19=Challenges!$D$100,Challenges!$K$100,IF(AND(CR19&gt;=Challenges!$K$100,CR19&lt;Challenges!$J$100),CR19+1,CR19)),CR19))</f>
        <v/>
      </c>
      <c r="CT19" s="0" t="str">
        <f aca="false">IF($B19="","",IF(Challenges!$L$101=1,IF($B19=Challenges!$D$101,Challenges!$K$101,IF(AND(CS19&gt;=Challenges!$K$101,CS19&lt;Challenges!$J$101),CS19+1,CS19)),CS19))</f>
        <v/>
      </c>
      <c r="CU19" s="0" t="str">
        <f aca="false">IF($B19="","",IF(Challenges!$L$102=1,IF($B19=Challenges!$D$102,Challenges!$K$102,IF(AND(CT19&gt;=Challenges!$K$102,CT19&lt;Challenges!$J$102),CT19+1,CT19)),CT19))</f>
        <v/>
      </c>
      <c r="CV19" s="0" t="str">
        <f aca="false">IF($B19="","",IF(Challenges!$L$103=1,IF($B19=Challenges!$D$103,Challenges!$K$103,IF(AND(CU19&gt;=Challenges!$K$103,CU19&lt;Challenges!$J$103),CU19+1,CU19)),CU19))</f>
        <v/>
      </c>
      <c r="CW19" s="0" t="str">
        <f aca="false">IF($B19="","",IF(Challenges!$L$104=1,IF($B19=Challenges!$D$104,Challenges!$K$104,IF(AND(CV19&gt;=Challenges!$K$104,CV19&lt;Challenges!$J$104),CV19+1,CV19)),CV19))</f>
        <v/>
      </c>
      <c r="CX19" s="0" t="str">
        <f aca="false">IF($B19="","",IF(Challenges!$L$105=1,IF($B19=Challenges!$D$105,Challenges!$K$105,IF(AND(CW19&gt;=Challenges!$K$105,CW19&lt;Challenges!$J$105),CW19+1,CW19)),CW19))</f>
        <v/>
      </c>
      <c r="CY19" s="0" t="str">
        <f aca="false">IF($B19="","",IF(Challenges!$L$106=1,IF($B19=Challenges!$D$106,Challenges!$K$106,IF(AND(CX19&gt;=Challenges!$K$106,CX19&lt;Challenges!$J$106),CX19+1,CX19)),CX19))</f>
        <v/>
      </c>
    </row>
    <row r="20" customFormat="false" ht="15" hidden="false" customHeight="false" outlineLevel="0" collapsed="false">
      <c r="B20" s="0" t="str">
        <f aca="false">IF(Ladder!$C20="","",Ladder!$C20)</f>
        <v/>
      </c>
      <c r="C20" s="0" t="str">
        <f aca="false">IF($B20="","",ROW()-6)</f>
        <v/>
      </c>
      <c r="D20" s="0" t="str">
        <f aca="false">IF($B20="","",IF(Challenges!$L$7=1,IF($B20=Challenges!$D$7,Challenges!$K$7,IF(AND(C20&gt;=Challenges!$K$7,C20&lt;Challenges!$J$7),C20+1,C20)),C20))</f>
        <v/>
      </c>
      <c r="E20" s="0" t="str">
        <f aca="false">IF($B20="","",IF(Challenges!$L$8=1,IF($B20=Challenges!$D$8,Challenges!$K$8,IF(AND(D20&gt;=Challenges!$K$8,D20&lt;Challenges!$J$8),D20+1,D20)),D20))</f>
        <v/>
      </c>
      <c r="F20" s="0" t="str">
        <f aca="false">IF($B20="","",IF(Challenges!$L$9=1,IF($B20=Challenges!$D$9,Challenges!$K$9,IF(AND(E20&gt;=Challenges!$K$9,E20&lt;Challenges!$J$9),E20+1,E20)),E20))</f>
        <v/>
      </c>
      <c r="G20" s="0" t="str">
        <f aca="false">IF($B20="","",IF(Challenges!$L$10=1,IF($B20=Challenges!$D$10,Challenges!$K$10,IF(AND(F20&gt;=Challenges!$K$10,F20&lt;Challenges!$J$10),F20+1,F20)),F20))</f>
        <v/>
      </c>
      <c r="H20" s="0" t="str">
        <f aca="false">IF($B20="","",IF(Challenges!$L$11=1,IF($B20=Challenges!$D$11,Challenges!$K$11,IF(AND(G20&gt;=Challenges!$K$11,G20&lt;Challenges!$J$11),G20+1,G20)),G20))</f>
        <v/>
      </c>
      <c r="I20" s="0" t="str">
        <f aca="false">IF($B20="","",IF(Challenges!$L$12=1,IF($B20=Challenges!$D$12,Challenges!$K$12,IF(AND(H20&gt;=Challenges!$K$12,H20&lt;Challenges!$J$12),H20+1,H20)),H20))</f>
        <v/>
      </c>
      <c r="J20" s="0" t="str">
        <f aca="false">IF($B20="","",IF(Challenges!$L$13=1,IF($B20=Challenges!$D$13,Challenges!$K$13,IF(AND(I20&gt;=Challenges!$K$13,I20&lt;Challenges!$J$13),I20+1,I20)),I20))</f>
        <v/>
      </c>
      <c r="K20" s="0" t="str">
        <f aca="false">IF($B20="","",IF(Challenges!$L$14=1,IF($B20=Challenges!$D$14,Challenges!$K$14,IF(AND(J20&gt;=Challenges!$K$14,J20&lt;Challenges!$J$14),J20+1,J20)),J20))</f>
        <v/>
      </c>
      <c r="L20" s="0" t="str">
        <f aca="false">IF($B20="","",IF(Challenges!$L$15=1,IF($B20=Challenges!$D$15,Challenges!$K$15,IF(AND(K20&gt;=Challenges!$K$15,K20&lt;Challenges!$J$15),K20+1,K20)),K20))</f>
        <v/>
      </c>
      <c r="M20" s="0" t="str">
        <f aca="false">IF($B20="","",IF(Challenges!$L$16=1,IF($B20=Challenges!$D$16,Challenges!$K$16,IF(AND(L20&gt;=Challenges!$K$16,L20&lt;Challenges!$J$16),L20+1,L20)),L20))</f>
        <v/>
      </c>
      <c r="N20" s="0" t="str">
        <f aca="false">IF($B20="","",IF(Challenges!$L$17=1,IF($B20=Challenges!$D$17,Challenges!$K$17,IF(AND(M20&gt;=Challenges!$K$17,M20&lt;Challenges!$J$17),M20+1,M20)),M20))</f>
        <v/>
      </c>
      <c r="O20" s="0" t="str">
        <f aca="false">IF($B20="","",IF(Challenges!$L$18=1,IF($B20=Challenges!$D$18,Challenges!$K$18,IF(AND(N20&gt;=Challenges!$K$18,N20&lt;Challenges!$J$18),N20+1,N20)),N20))</f>
        <v/>
      </c>
      <c r="P20" s="0" t="str">
        <f aca="false">IF($B20="","",IF(Challenges!$L$19=1,IF($B20=Challenges!$D$19,Challenges!$K$19,IF(AND(O20&gt;=Challenges!$K$19,O20&lt;Challenges!$J$19),O20+1,O20)),O20))</f>
        <v/>
      </c>
      <c r="Q20" s="0" t="str">
        <f aca="false">IF($B20="","",IF(Challenges!$L$20=1,IF($B20=Challenges!$D$20,Challenges!$K$20,IF(AND(P20&gt;=Challenges!$K$20,P20&lt;Challenges!$J$20),P20+1,P20)),P20))</f>
        <v/>
      </c>
      <c r="R20" s="0" t="str">
        <f aca="false">IF($B20="","",IF(Challenges!$L$21=1,IF($B20=Challenges!$D$21,Challenges!$K$21,IF(AND(Q20&gt;=Challenges!$K$21,Q20&lt;Challenges!$J$21),Q20+1,Q20)),Q20))</f>
        <v/>
      </c>
      <c r="S20" s="0" t="str">
        <f aca="false">IF($B20="","",IF(Challenges!$L$22=1,IF($B20=Challenges!$D$22,Challenges!$K$22,IF(AND(R20&gt;=Challenges!$K$22,R20&lt;Challenges!$J$22),R20+1,R20)),R20))</f>
        <v/>
      </c>
      <c r="T20" s="0" t="str">
        <f aca="false">IF($B20="","",IF(Challenges!$L$23=1,IF($B20=Challenges!$D$23,Challenges!$K$23,IF(AND(S20&gt;=Challenges!$K$23,S20&lt;Challenges!$J$23),S20+1,S20)),S20))</f>
        <v/>
      </c>
      <c r="U20" s="0" t="str">
        <f aca="false">IF($B20="","",IF(Challenges!$L$24=1,IF($B20=Challenges!$D$24,Challenges!$K$24,IF(AND(T20&gt;=Challenges!$K$24,T20&lt;Challenges!$J$24),T20+1,T20)),T20))</f>
        <v/>
      </c>
      <c r="V20" s="0" t="str">
        <f aca="false">IF($B20="","",IF(Challenges!$L$25=1,IF($B20=Challenges!$D$25,Challenges!$K$25,IF(AND(U20&gt;=Challenges!$K$25,U20&lt;Challenges!$J$25),U20+1,U20)),U20))</f>
        <v/>
      </c>
      <c r="W20" s="0" t="str">
        <f aca="false">IF($B20="","",IF(Challenges!$L$26=1,IF($B20=Challenges!$D$26,Challenges!$K$26,IF(AND(V20&gt;=Challenges!$K$26,V20&lt;Challenges!$J$26),V20+1,V20)),V20))</f>
        <v/>
      </c>
      <c r="X20" s="0" t="str">
        <f aca="false">IF($B20="","",IF(Challenges!$L$27=1,IF($B20=Challenges!$D$27,Challenges!$K$27,IF(AND(W20&gt;=Challenges!$K$27,W20&lt;Challenges!$J$27),W20+1,W20)),W20))</f>
        <v/>
      </c>
      <c r="Y20" s="0" t="str">
        <f aca="false">IF($B20="","",IF(Challenges!$L$28=1,IF($B20=Challenges!$D$28,Challenges!$K$28,IF(AND(X20&gt;=Challenges!$K$28,X20&lt;Challenges!$J$28),X20+1,X20)),X20))</f>
        <v/>
      </c>
      <c r="Z20" s="0" t="str">
        <f aca="false">IF($B20="","",IF(Challenges!$L$29=1,IF($B20=Challenges!$D$29,Challenges!$K$29,IF(AND(Y20&gt;=Challenges!$K$29,Y20&lt;Challenges!$J$29),Y20+1,Y20)),Y20))</f>
        <v/>
      </c>
      <c r="AA20" s="0" t="str">
        <f aca="false">IF($B20="","",IF(Challenges!$L$30=1,IF($B20=Challenges!$D$30,Challenges!$K$30,IF(AND(Z20&gt;=Challenges!$K$30,Z20&lt;Challenges!$J$30),Z20+1,Z20)),Z20))</f>
        <v/>
      </c>
      <c r="AB20" s="0" t="str">
        <f aca="false">IF($B20="","",IF(Challenges!$L$31=1,IF($B20=Challenges!$D$31,Challenges!$K$31,IF(AND(AA20&gt;=Challenges!$K$31,AA20&lt;Challenges!$J$31),AA20+1,AA20)),AA20))</f>
        <v/>
      </c>
      <c r="AC20" s="0" t="str">
        <f aca="false">IF($B20="","",IF(Challenges!$L$32=1,IF($B20=Challenges!$D$32,Challenges!$K$32,IF(AND(AB20&gt;=Challenges!$K$32,AB20&lt;Challenges!$J$32),AB20+1,AB20)),AB20))</f>
        <v/>
      </c>
      <c r="AD20" s="0" t="str">
        <f aca="false">IF($B20="","",IF(Challenges!$L$33=1,IF($B20=Challenges!$D$33,Challenges!$K$33,IF(AND(AC20&gt;=Challenges!$K$33,AC20&lt;Challenges!$J$33),AC20+1,AC20)),AC20))</f>
        <v/>
      </c>
      <c r="AE20" s="0" t="str">
        <f aca="false">IF($B20="","",IF(Challenges!$L$34=1,IF($B20=Challenges!$D$34,Challenges!$K$34,IF(AND(AD20&gt;=Challenges!$K$34,AD20&lt;Challenges!$J$34),AD20+1,AD20)),AD20))</f>
        <v/>
      </c>
      <c r="AF20" s="0" t="str">
        <f aca="false">IF($B20="","",IF(Challenges!$L$35=1,IF($B20=Challenges!$D$35,Challenges!$K$35,IF(AND(AE20&gt;=Challenges!$K$35,AE20&lt;Challenges!$J$35),AE20+1,AE20)),AE20))</f>
        <v/>
      </c>
      <c r="AG20" s="0" t="str">
        <f aca="false">IF($B20="","",IF(Challenges!$L$36=1,IF($B20=Challenges!$D$36,Challenges!$K$36,IF(AND(AF20&gt;=Challenges!$K$36,AF20&lt;Challenges!$J$36),AF20+1,AF20)),AF20))</f>
        <v/>
      </c>
      <c r="AH20" s="0" t="str">
        <f aca="false">IF($B20="","",IF(Challenges!$L$37=1,IF($B20=Challenges!$D$37,Challenges!$K$37,IF(AND(AG20&gt;=Challenges!$K$37,AG20&lt;Challenges!$J$37),AG20+1,AG20)),AG20))</f>
        <v/>
      </c>
      <c r="AI20" s="0" t="str">
        <f aca="false">IF($B20="","",IF(Challenges!$L$38=1,IF($B20=Challenges!$D$38,Challenges!$K$38,IF(AND(AH20&gt;=Challenges!$K$38,AH20&lt;Challenges!$J$38),AH20+1,AH20)),AH20))</f>
        <v/>
      </c>
      <c r="AJ20" s="0" t="str">
        <f aca="false">IF($B20="","",IF(Challenges!$L$39=1,IF($B20=Challenges!$D$39,Challenges!$K$39,IF(AND(AI20&gt;=Challenges!$K$39,AI20&lt;Challenges!$J$39),AI20+1,AI20)),AI20))</f>
        <v/>
      </c>
      <c r="AK20" s="0" t="str">
        <f aca="false">IF($B20="","",IF(Challenges!$L$40=1,IF($B20=Challenges!$D$40,Challenges!$K$40,IF(AND(AJ20&gt;=Challenges!$K$40,AJ20&lt;Challenges!$J$40),AJ20+1,AJ20)),AJ20))</f>
        <v/>
      </c>
      <c r="AL20" s="0" t="str">
        <f aca="false">IF($B20="","",IF(Challenges!$L$41=1,IF($B20=Challenges!$D$41,Challenges!$K$41,IF(AND(AK20&gt;=Challenges!$K$41,AK20&lt;Challenges!$J$41),AK20+1,AK20)),AK20))</f>
        <v/>
      </c>
      <c r="AM20" s="0" t="str">
        <f aca="false">IF($B20="","",IF(Challenges!$L$42=1,IF($B20=Challenges!$D$42,Challenges!$K$42,IF(AND(AL20&gt;=Challenges!$K$42,AL20&lt;Challenges!$J$42),AL20+1,AL20)),AL20))</f>
        <v/>
      </c>
      <c r="AN20" s="0" t="str">
        <f aca="false">IF($B20="","",IF(Challenges!$L$43=1,IF($B20=Challenges!$D$43,Challenges!$K$43,IF(AND(AM20&gt;=Challenges!$K$43,AM20&lt;Challenges!$J$43),AM20+1,AM20)),AM20))</f>
        <v/>
      </c>
      <c r="AO20" s="0" t="str">
        <f aca="false">IF($B20="","",IF(Challenges!$L$44=1,IF($B20=Challenges!$D$44,Challenges!$K$44,IF(AND(AN20&gt;=Challenges!$K$44,AN20&lt;Challenges!$J$44),AN20+1,AN20)),AN20))</f>
        <v/>
      </c>
      <c r="AP20" s="0" t="str">
        <f aca="false">IF($B20="","",IF(Challenges!$L$45=1,IF($B20=Challenges!$D$45,Challenges!$K$45,IF(AND(AO20&gt;=Challenges!$K$45,AO20&lt;Challenges!$J$45),AO20+1,AO20)),AO20))</f>
        <v/>
      </c>
      <c r="AQ20" s="0" t="str">
        <f aca="false">IF($B20="","",IF(Challenges!$L$46=1,IF($B20=Challenges!$D$46,Challenges!$K$46,IF(AND(AP20&gt;=Challenges!$K$46,AP20&lt;Challenges!$J$46),AP20+1,AP20)),AP20))</f>
        <v/>
      </c>
      <c r="AR20" s="0" t="str">
        <f aca="false">IF($B20="","",IF(Challenges!$L$47=1,IF($B20=Challenges!$D$47,Challenges!$K$47,IF(AND(AQ20&gt;=Challenges!$K$47,AQ20&lt;Challenges!$J$47),AQ20+1,AQ20)),AQ20))</f>
        <v/>
      </c>
      <c r="AS20" s="0" t="str">
        <f aca="false">IF($B20="","",IF(Challenges!$L$48=1,IF($B20=Challenges!$D$48,Challenges!$K$48,IF(AND(AR20&gt;=Challenges!$K$48,AR20&lt;Challenges!$J$48),AR20+1,AR20)),AR20))</f>
        <v/>
      </c>
      <c r="AT20" s="0" t="str">
        <f aca="false">IF($B20="","",IF(Challenges!$L$49=1,IF($B20=Challenges!$D$49,Challenges!$K$49,IF(AND(AS20&gt;=Challenges!$K$49,AS20&lt;Challenges!$J$49),AS20+1,AS20)),AS20))</f>
        <v/>
      </c>
      <c r="AU20" s="0" t="str">
        <f aca="false">IF($B20="","",IF(Challenges!$L$50=1,IF($B20=Challenges!$D$50,Challenges!$K$50,IF(AND(AT20&gt;=Challenges!$K$50,AT20&lt;Challenges!$J$50),AT20+1,AT20)),AT20))</f>
        <v/>
      </c>
      <c r="AV20" s="0" t="str">
        <f aca="false">IF($B20="","",IF(Challenges!$L$51=1,IF($B20=Challenges!$D$51,Challenges!$K$51,IF(AND(AU20&gt;=Challenges!$K$51,AU20&lt;Challenges!$J$51),AU20+1,AU20)),AU20))</f>
        <v/>
      </c>
      <c r="AW20" s="0" t="str">
        <f aca="false">IF($B20="","",IF(Challenges!$L$52=1,IF($B20=Challenges!$D$52,Challenges!$K$52,IF(AND(AV20&gt;=Challenges!$K$52,AV20&lt;Challenges!$J$52),AV20+1,AV20)),AV20))</f>
        <v/>
      </c>
      <c r="AX20" s="0" t="str">
        <f aca="false">IF($B20="","",IF(Challenges!$L$53=1,IF($B20=Challenges!$D$53,Challenges!$K$53,IF(AND(AW20&gt;=Challenges!$K$53,AW20&lt;Challenges!$J$53),AW20+1,AW20)),AW20))</f>
        <v/>
      </c>
      <c r="AY20" s="0" t="str">
        <f aca="false">IF($B20="","",IF(Challenges!$L$54=1,IF($B20=Challenges!$D$54,Challenges!$K$54,IF(AND(AX20&gt;=Challenges!$K$54,AX20&lt;Challenges!$J$54),AX20+1,AX20)),AX20))</f>
        <v/>
      </c>
      <c r="AZ20" s="0" t="str">
        <f aca="false">IF($B20="","",IF(Challenges!$L$55=1,IF($B20=Challenges!$D$55,Challenges!$K$55,IF(AND(AY20&gt;=Challenges!$K$55,AY20&lt;Challenges!$J$55),AY20+1,AY20)),AY20))</f>
        <v/>
      </c>
      <c r="BA20" s="0" t="str">
        <f aca="false">IF($B20="","",IF(Challenges!$L$56=1,IF($B20=Challenges!$D$56,Challenges!$K$56,IF(AND(AZ20&gt;=Challenges!$K$56,AZ20&lt;Challenges!$J$56),AZ20+1,AZ20)),AZ20))</f>
        <v/>
      </c>
      <c r="BB20" s="0" t="str">
        <f aca="false">IF($B20="","",IF(Challenges!$L$57=1,IF($B20=Challenges!$D$57,Challenges!$K$57,IF(AND(BA20&gt;=Challenges!$K$57,BA20&lt;Challenges!$J$57),BA20+1,BA20)),BA20))</f>
        <v/>
      </c>
      <c r="BC20" s="0" t="str">
        <f aca="false">IF($B20="","",IF(Challenges!$L$58=1,IF($B20=Challenges!$D$58,Challenges!$K$58,IF(AND(BB20&gt;=Challenges!$K$58,BB20&lt;Challenges!$J$58),BB20+1,BB20)),BB20))</f>
        <v/>
      </c>
      <c r="BD20" s="0" t="str">
        <f aca="false">IF($B20="","",IF(Challenges!$L$59=1,IF($B20=Challenges!$D$59,Challenges!$K$59,IF(AND(BC20&gt;=Challenges!$K$59,BC20&lt;Challenges!$J$59),BC20+1,BC20)),BC20))</f>
        <v/>
      </c>
      <c r="BE20" s="0" t="str">
        <f aca="false">IF($B20="","",IF(Challenges!$L$60=1,IF($B20=Challenges!$D$60,Challenges!$K$60,IF(AND(BD20&gt;=Challenges!$K$60,BD20&lt;Challenges!$J$60),BD20+1,BD20)),BD20))</f>
        <v/>
      </c>
      <c r="BF20" s="0" t="str">
        <f aca="false">IF($B20="","",IF(Challenges!$L$61=1,IF($B20=Challenges!$D$61,Challenges!$K$61,IF(AND(BE20&gt;=Challenges!$K$61,BE20&lt;Challenges!$J$61),BE20+1,BE20)),BE20))</f>
        <v/>
      </c>
      <c r="BG20" s="0" t="str">
        <f aca="false">IF($B20="","",IF(Challenges!$L$62=1,IF($B20=Challenges!$D$62,Challenges!$K$62,IF(AND(BF20&gt;=Challenges!$K$62,BF20&lt;Challenges!$J$62),BF20+1,BF20)),BF20))</f>
        <v/>
      </c>
      <c r="BH20" s="0" t="str">
        <f aca="false">IF($B20="","",IF(Challenges!$L$63=1,IF($B20=Challenges!$D$63,Challenges!$K$63,IF(AND(BG20&gt;=Challenges!$K$63,BG20&lt;Challenges!$J$63),BG20+1,BG20)),BG20))</f>
        <v/>
      </c>
      <c r="BI20" s="0" t="str">
        <f aca="false">IF($B20="","",IF(Challenges!$L$64=1,IF($B20=Challenges!$D$64,Challenges!$K$64,IF(AND(BH20&gt;=Challenges!$K$64,BH20&lt;Challenges!$J$64),BH20+1,BH20)),BH20))</f>
        <v/>
      </c>
      <c r="BJ20" s="0" t="str">
        <f aca="false">IF($B20="","",IF(Challenges!$L$65=1,IF($B20=Challenges!$D$65,Challenges!$K$65,IF(AND(BI20&gt;=Challenges!$K$65,BI20&lt;Challenges!$J$65),BI20+1,BI20)),BI20))</f>
        <v/>
      </c>
      <c r="BK20" s="0" t="str">
        <f aca="false">IF($B20="","",IF(Challenges!$L$66=1,IF($B20=Challenges!$D$66,Challenges!$K$66,IF(AND(BJ20&gt;=Challenges!$K$66,BJ20&lt;Challenges!$J$66),BJ20+1,BJ20)),BJ20))</f>
        <v/>
      </c>
      <c r="BL20" s="0" t="str">
        <f aca="false">IF($B20="","",IF(Challenges!$L$67=1,IF($B20=Challenges!$D$67,Challenges!$K$67,IF(AND(BK20&gt;=Challenges!$K$67,BK20&lt;Challenges!$J$67),BK20+1,BK20)),BK20))</f>
        <v/>
      </c>
      <c r="BM20" s="0" t="str">
        <f aca="false">IF($B20="","",IF(Challenges!$L$68=1,IF($B20=Challenges!$D$68,Challenges!$K$68,IF(AND(BL20&gt;=Challenges!$K$68,BL20&lt;Challenges!$J$68),BL20+1,BL20)),BL20))</f>
        <v/>
      </c>
      <c r="BN20" s="0" t="str">
        <f aca="false">IF($B20="","",IF(Challenges!$L$69=1,IF($B20=Challenges!$D$69,Challenges!$K$69,IF(AND(BM20&gt;=Challenges!$K$69,BM20&lt;Challenges!$J$69),BM20+1,BM20)),BM20))</f>
        <v/>
      </c>
      <c r="BO20" s="0" t="str">
        <f aca="false">IF($B20="","",IF(Challenges!$L$70=1,IF($B20=Challenges!$D$70,Challenges!$K$70,IF(AND(BN20&gt;=Challenges!$K$70,BN20&lt;Challenges!$J$70),BN20+1,BN20)),BN20))</f>
        <v/>
      </c>
      <c r="BP20" s="0" t="str">
        <f aca="false">IF($B20="","",IF(Challenges!$L$71=1,IF($B20=Challenges!$D$71,Challenges!$K$71,IF(AND(BO20&gt;=Challenges!$K$71,BO20&lt;Challenges!$J$71),BO20+1,BO20)),BO20))</f>
        <v/>
      </c>
      <c r="BQ20" s="0" t="str">
        <f aca="false">IF($B20="","",IF(Challenges!$L$72=1,IF($B20=Challenges!$D$72,Challenges!$K$72,IF(AND(BP20&gt;=Challenges!$K$72,BP20&lt;Challenges!$J$72),BP20+1,BP20)),BP20))</f>
        <v/>
      </c>
      <c r="BR20" s="0" t="str">
        <f aca="false">IF($B20="","",IF(Challenges!$L$73=1,IF($B20=Challenges!$D$73,Challenges!$K$73,IF(AND(BQ20&gt;=Challenges!$K$73,BQ20&lt;Challenges!$J$73),BQ20+1,BQ20)),BQ20))</f>
        <v/>
      </c>
      <c r="BS20" s="0" t="str">
        <f aca="false">IF($B20="","",IF(Challenges!$L$74=1,IF($B20=Challenges!$D$74,Challenges!$K$74,IF(AND(BR20&gt;=Challenges!$K$74,BR20&lt;Challenges!$J$74),BR20+1,BR20)),BR20))</f>
        <v/>
      </c>
      <c r="BT20" s="0" t="str">
        <f aca="false">IF($B20="","",IF(Challenges!$L$75=1,IF($B20=Challenges!$D$75,Challenges!$K$75,IF(AND(BS20&gt;=Challenges!$K$75,BS20&lt;Challenges!$J$75),BS20+1,BS20)),BS20))</f>
        <v/>
      </c>
      <c r="BU20" s="0" t="str">
        <f aca="false">IF($B20="","",IF(Challenges!$L$76=1,IF($B20=Challenges!$D$76,Challenges!$K$76,IF(AND(BT20&gt;=Challenges!$K$76,BT20&lt;Challenges!$J$76),BT20+1,BT20)),BT20))</f>
        <v/>
      </c>
      <c r="BV20" s="0" t="str">
        <f aca="false">IF($B20="","",IF(Challenges!$L$77=1,IF($B20=Challenges!$D$77,Challenges!$K$77,IF(AND(BU20&gt;=Challenges!$K$77,BU20&lt;Challenges!$J$77),BU20+1,BU20)),BU20))</f>
        <v/>
      </c>
      <c r="BW20" s="0" t="str">
        <f aca="false">IF($B20="","",IF(Challenges!$L$78=1,IF($B20=Challenges!$D$78,Challenges!$K$78,IF(AND(BV20&gt;=Challenges!$K$78,BV20&lt;Challenges!$J$78),BV20+1,BV20)),BV20))</f>
        <v/>
      </c>
      <c r="BX20" s="0" t="str">
        <f aca="false">IF($B20="","",IF(Challenges!$L$79=1,IF($B20=Challenges!$D$79,Challenges!$K$79,IF(AND(BW20&gt;=Challenges!$K$79,BW20&lt;Challenges!$J$79),BW20+1,BW20)),BW20))</f>
        <v/>
      </c>
      <c r="BY20" s="0" t="str">
        <f aca="false">IF($B20="","",IF(Challenges!$L$80=1,IF($B20=Challenges!$D$80,Challenges!$K$80,IF(AND(BX20&gt;=Challenges!$K$80,BX20&lt;Challenges!$J$80),BX20+1,BX20)),BX20))</f>
        <v/>
      </c>
      <c r="BZ20" s="0" t="str">
        <f aca="false">IF($B20="","",IF(Challenges!$L$81=1,IF($B20=Challenges!$D$81,Challenges!$K$81,IF(AND(BY20&gt;=Challenges!$K$81,BY20&lt;Challenges!$J$81),BY20+1,BY20)),BY20))</f>
        <v/>
      </c>
      <c r="CA20" s="0" t="str">
        <f aca="false">IF($B20="","",IF(Challenges!$L$82=1,IF($B20=Challenges!$D$82,Challenges!$K$82,IF(AND(BZ20&gt;=Challenges!$K$82,BZ20&lt;Challenges!$J$82),BZ20+1,BZ20)),BZ20))</f>
        <v/>
      </c>
      <c r="CB20" s="0" t="str">
        <f aca="false">IF($B20="","",IF(Challenges!$L$83=1,IF($B20=Challenges!$D$83,Challenges!$K$83,IF(AND(CA20&gt;=Challenges!$K$83,CA20&lt;Challenges!$J$83),CA20+1,CA20)),CA20))</f>
        <v/>
      </c>
      <c r="CC20" s="0" t="str">
        <f aca="false">IF($B20="","",IF(Challenges!$L$84=1,IF($B20=Challenges!$D$84,Challenges!$K$84,IF(AND(CB20&gt;=Challenges!$K$84,CB20&lt;Challenges!$J$84),CB20+1,CB20)),CB20))</f>
        <v/>
      </c>
      <c r="CD20" s="0" t="str">
        <f aca="false">IF($B20="","",IF(Challenges!$L$85=1,IF($B20=Challenges!$D$85,Challenges!$K$85,IF(AND(CC20&gt;=Challenges!$K$85,CC20&lt;Challenges!$J$85),CC20+1,CC20)),CC20))</f>
        <v/>
      </c>
      <c r="CE20" s="0" t="str">
        <f aca="false">IF($B20="","",IF(Challenges!$L$86=1,IF($B20=Challenges!$D$86,Challenges!$K$86,IF(AND(CD20&gt;=Challenges!$K$86,CD20&lt;Challenges!$J$86),CD20+1,CD20)),CD20))</f>
        <v/>
      </c>
      <c r="CF20" s="0" t="str">
        <f aca="false">IF($B20="","",IF(Challenges!$L$87=1,IF($B20=Challenges!$D$87,Challenges!$K$87,IF(AND(CE20&gt;=Challenges!$K$87,CE20&lt;Challenges!$J$87),CE20+1,CE20)),CE20))</f>
        <v/>
      </c>
      <c r="CG20" s="0" t="str">
        <f aca="false">IF($B20="","",IF(Challenges!$L$88=1,IF($B20=Challenges!$D$88,Challenges!$K$88,IF(AND(CF20&gt;=Challenges!$K$88,CF20&lt;Challenges!$J$88),CF20+1,CF20)),CF20))</f>
        <v/>
      </c>
      <c r="CH20" s="0" t="str">
        <f aca="false">IF($B20="","",IF(Challenges!$L$89=1,IF($B20=Challenges!$D$89,Challenges!$K$89,IF(AND(CG20&gt;=Challenges!$K$89,CG20&lt;Challenges!$J$89),CG20+1,CG20)),CG20))</f>
        <v/>
      </c>
      <c r="CI20" s="0" t="str">
        <f aca="false">IF($B20="","",IF(Challenges!$L$90=1,IF($B20=Challenges!$D$90,Challenges!$K$90,IF(AND(CH20&gt;=Challenges!$K$90,CH20&lt;Challenges!$J$90),CH20+1,CH20)),CH20))</f>
        <v/>
      </c>
      <c r="CJ20" s="0" t="str">
        <f aca="false">IF($B20="","",IF(Challenges!$L$91=1,IF($B20=Challenges!$D$91,Challenges!$K$91,IF(AND(CI20&gt;=Challenges!$K$91,CI20&lt;Challenges!$J$91),CI20+1,CI20)),CI20))</f>
        <v/>
      </c>
      <c r="CK20" s="0" t="str">
        <f aca="false">IF($B20="","",IF(Challenges!$L$92=1,IF($B20=Challenges!$D$92,Challenges!$K$92,IF(AND(CJ20&gt;=Challenges!$K$92,CJ20&lt;Challenges!$J$92),CJ20+1,CJ20)),CJ20))</f>
        <v/>
      </c>
      <c r="CL20" s="0" t="str">
        <f aca="false">IF($B20="","",IF(Challenges!$L$93=1,IF($B20=Challenges!$D$93,Challenges!$K$93,IF(AND(CK20&gt;=Challenges!$K$93,CK20&lt;Challenges!$J$93),CK20+1,CK20)),CK20))</f>
        <v/>
      </c>
      <c r="CM20" s="0" t="str">
        <f aca="false">IF($B20="","",IF(Challenges!$L$94=1,IF($B20=Challenges!$D$94,Challenges!$K$94,IF(AND(CL20&gt;=Challenges!$K$94,CL20&lt;Challenges!$J$94),CL20+1,CL20)),CL20))</f>
        <v/>
      </c>
      <c r="CN20" s="0" t="str">
        <f aca="false">IF($B20="","",IF(Challenges!$L$95=1,IF($B20=Challenges!$D$95,Challenges!$K$95,IF(AND(CM20&gt;=Challenges!$K$95,CM20&lt;Challenges!$J$95),CM20+1,CM20)),CM20))</f>
        <v/>
      </c>
      <c r="CO20" s="0" t="str">
        <f aca="false">IF($B20="","",IF(Challenges!$L$96=1,IF($B20=Challenges!$D$96,Challenges!$K$96,IF(AND(CN20&gt;=Challenges!$K$96,CN20&lt;Challenges!$J$96),CN20+1,CN20)),CN20))</f>
        <v/>
      </c>
      <c r="CP20" s="0" t="str">
        <f aca="false">IF($B20="","",IF(Challenges!$L$97=1,IF($B20=Challenges!$D$97,Challenges!$K$97,IF(AND(CO20&gt;=Challenges!$K$97,CO20&lt;Challenges!$J$97),CO20+1,CO20)),CO20))</f>
        <v/>
      </c>
      <c r="CQ20" s="0" t="str">
        <f aca="false">IF($B20="","",IF(Challenges!$L$98=1,IF($B20=Challenges!$D$98,Challenges!$K$98,IF(AND(CP20&gt;=Challenges!$K$98,CP20&lt;Challenges!$J$98),CP20+1,CP20)),CP20))</f>
        <v/>
      </c>
      <c r="CR20" s="0" t="str">
        <f aca="false">IF($B20="","",IF(Challenges!$L$99=1,IF($B20=Challenges!$D$99,Challenges!$K$99,IF(AND(CQ20&gt;=Challenges!$K$99,CQ20&lt;Challenges!$J$99),CQ20+1,CQ20)),CQ20))</f>
        <v/>
      </c>
      <c r="CS20" s="0" t="str">
        <f aca="false">IF($B20="","",IF(Challenges!$L$100=1,IF($B20=Challenges!$D$100,Challenges!$K$100,IF(AND(CR20&gt;=Challenges!$K$100,CR20&lt;Challenges!$J$100),CR20+1,CR20)),CR20))</f>
        <v/>
      </c>
      <c r="CT20" s="0" t="str">
        <f aca="false">IF($B20="","",IF(Challenges!$L$101=1,IF($B20=Challenges!$D$101,Challenges!$K$101,IF(AND(CS20&gt;=Challenges!$K$101,CS20&lt;Challenges!$J$101),CS20+1,CS20)),CS20))</f>
        <v/>
      </c>
      <c r="CU20" s="0" t="str">
        <f aca="false">IF($B20="","",IF(Challenges!$L$102=1,IF($B20=Challenges!$D$102,Challenges!$K$102,IF(AND(CT20&gt;=Challenges!$K$102,CT20&lt;Challenges!$J$102),CT20+1,CT20)),CT20))</f>
        <v/>
      </c>
      <c r="CV20" s="0" t="str">
        <f aca="false">IF($B20="","",IF(Challenges!$L$103=1,IF($B20=Challenges!$D$103,Challenges!$K$103,IF(AND(CU20&gt;=Challenges!$K$103,CU20&lt;Challenges!$J$103),CU20+1,CU20)),CU20))</f>
        <v/>
      </c>
      <c r="CW20" s="0" t="str">
        <f aca="false">IF($B20="","",IF(Challenges!$L$104=1,IF($B20=Challenges!$D$104,Challenges!$K$104,IF(AND(CV20&gt;=Challenges!$K$104,CV20&lt;Challenges!$J$104),CV20+1,CV20)),CV20))</f>
        <v/>
      </c>
      <c r="CX20" s="0" t="str">
        <f aca="false">IF($B20="","",IF(Challenges!$L$105=1,IF($B20=Challenges!$D$105,Challenges!$K$105,IF(AND(CW20&gt;=Challenges!$K$105,CW20&lt;Challenges!$J$105),CW20+1,CW20)),CW20))</f>
        <v/>
      </c>
      <c r="CY20" s="0" t="str">
        <f aca="false">IF($B20="","",IF(Challenges!$L$106=1,IF($B20=Challenges!$D$106,Challenges!$K$106,IF(AND(CX20&gt;=Challenges!$K$106,CX20&lt;Challenges!$J$106),CX20+1,CX20)),CX20))</f>
        <v/>
      </c>
    </row>
    <row r="21" customFormat="false" ht="15" hidden="false" customHeight="false" outlineLevel="0" collapsed="false">
      <c r="B21" s="0" t="str">
        <f aca="false">IF(Ladder!$C21="","",Ladder!$C21)</f>
        <v/>
      </c>
      <c r="C21" s="0" t="str">
        <f aca="false">IF($B21="","",ROW()-6)</f>
        <v/>
      </c>
      <c r="D21" s="0" t="str">
        <f aca="false">IF($B21="","",IF(Challenges!$L$7=1,IF($B21=Challenges!$D$7,Challenges!$K$7,IF(AND(C21&gt;=Challenges!$K$7,C21&lt;Challenges!$J$7),C21+1,C21)),C21))</f>
        <v/>
      </c>
      <c r="E21" s="0" t="str">
        <f aca="false">IF($B21="","",IF(Challenges!$L$8=1,IF($B21=Challenges!$D$8,Challenges!$K$8,IF(AND(D21&gt;=Challenges!$K$8,D21&lt;Challenges!$J$8),D21+1,D21)),D21))</f>
        <v/>
      </c>
      <c r="F21" s="0" t="str">
        <f aca="false">IF($B21="","",IF(Challenges!$L$9=1,IF($B21=Challenges!$D$9,Challenges!$K$9,IF(AND(E21&gt;=Challenges!$K$9,E21&lt;Challenges!$J$9),E21+1,E21)),E21))</f>
        <v/>
      </c>
      <c r="G21" s="0" t="str">
        <f aca="false">IF($B21="","",IF(Challenges!$L$10=1,IF($B21=Challenges!$D$10,Challenges!$K$10,IF(AND(F21&gt;=Challenges!$K$10,F21&lt;Challenges!$J$10),F21+1,F21)),F21))</f>
        <v/>
      </c>
      <c r="H21" s="0" t="str">
        <f aca="false">IF($B21="","",IF(Challenges!$L$11=1,IF($B21=Challenges!$D$11,Challenges!$K$11,IF(AND(G21&gt;=Challenges!$K$11,G21&lt;Challenges!$J$11),G21+1,G21)),G21))</f>
        <v/>
      </c>
      <c r="I21" s="0" t="str">
        <f aca="false">IF($B21="","",IF(Challenges!$L$12=1,IF($B21=Challenges!$D$12,Challenges!$K$12,IF(AND(H21&gt;=Challenges!$K$12,H21&lt;Challenges!$J$12),H21+1,H21)),H21))</f>
        <v/>
      </c>
      <c r="J21" s="0" t="str">
        <f aca="false">IF($B21="","",IF(Challenges!$L$13=1,IF($B21=Challenges!$D$13,Challenges!$K$13,IF(AND(I21&gt;=Challenges!$K$13,I21&lt;Challenges!$J$13),I21+1,I21)),I21))</f>
        <v/>
      </c>
      <c r="K21" s="0" t="str">
        <f aca="false">IF($B21="","",IF(Challenges!$L$14=1,IF($B21=Challenges!$D$14,Challenges!$K$14,IF(AND(J21&gt;=Challenges!$K$14,J21&lt;Challenges!$J$14),J21+1,J21)),J21))</f>
        <v/>
      </c>
      <c r="L21" s="0" t="str">
        <f aca="false">IF($B21="","",IF(Challenges!$L$15=1,IF($B21=Challenges!$D$15,Challenges!$K$15,IF(AND(K21&gt;=Challenges!$K$15,K21&lt;Challenges!$J$15),K21+1,K21)),K21))</f>
        <v/>
      </c>
      <c r="M21" s="0" t="str">
        <f aca="false">IF($B21="","",IF(Challenges!$L$16=1,IF($B21=Challenges!$D$16,Challenges!$K$16,IF(AND(L21&gt;=Challenges!$K$16,L21&lt;Challenges!$J$16),L21+1,L21)),L21))</f>
        <v/>
      </c>
      <c r="N21" s="0" t="str">
        <f aca="false">IF($B21="","",IF(Challenges!$L$17=1,IF($B21=Challenges!$D$17,Challenges!$K$17,IF(AND(M21&gt;=Challenges!$K$17,M21&lt;Challenges!$J$17),M21+1,M21)),M21))</f>
        <v/>
      </c>
      <c r="O21" s="0" t="str">
        <f aca="false">IF($B21="","",IF(Challenges!$L$18=1,IF($B21=Challenges!$D$18,Challenges!$K$18,IF(AND(N21&gt;=Challenges!$K$18,N21&lt;Challenges!$J$18),N21+1,N21)),N21))</f>
        <v/>
      </c>
      <c r="P21" s="0" t="str">
        <f aca="false">IF($B21="","",IF(Challenges!$L$19=1,IF($B21=Challenges!$D$19,Challenges!$K$19,IF(AND(O21&gt;=Challenges!$K$19,O21&lt;Challenges!$J$19),O21+1,O21)),O21))</f>
        <v/>
      </c>
      <c r="Q21" s="0" t="str">
        <f aca="false">IF($B21="","",IF(Challenges!$L$20=1,IF($B21=Challenges!$D$20,Challenges!$K$20,IF(AND(P21&gt;=Challenges!$K$20,P21&lt;Challenges!$J$20),P21+1,P21)),P21))</f>
        <v/>
      </c>
      <c r="R21" s="0" t="str">
        <f aca="false">IF($B21="","",IF(Challenges!$L$21=1,IF($B21=Challenges!$D$21,Challenges!$K$21,IF(AND(Q21&gt;=Challenges!$K$21,Q21&lt;Challenges!$J$21),Q21+1,Q21)),Q21))</f>
        <v/>
      </c>
      <c r="S21" s="0" t="str">
        <f aca="false">IF($B21="","",IF(Challenges!$L$22=1,IF($B21=Challenges!$D$22,Challenges!$K$22,IF(AND(R21&gt;=Challenges!$K$22,R21&lt;Challenges!$J$22),R21+1,R21)),R21))</f>
        <v/>
      </c>
      <c r="T21" s="0" t="str">
        <f aca="false">IF($B21="","",IF(Challenges!$L$23=1,IF($B21=Challenges!$D$23,Challenges!$K$23,IF(AND(S21&gt;=Challenges!$K$23,S21&lt;Challenges!$J$23),S21+1,S21)),S21))</f>
        <v/>
      </c>
      <c r="U21" s="0" t="str">
        <f aca="false">IF($B21="","",IF(Challenges!$L$24=1,IF($B21=Challenges!$D$24,Challenges!$K$24,IF(AND(T21&gt;=Challenges!$K$24,T21&lt;Challenges!$J$24),T21+1,T21)),T21))</f>
        <v/>
      </c>
      <c r="V21" s="0" t="str">
        <f aca="false">IF($B21="","",IF(Challenges!$L$25=1,IF($B21=Challenges!$D$25,Challenges!$K$25,IF(AND(U21&gt;=Challenges!$K$25,U21&lt;Challenges!$J$25),U21+1,U21)),U21))</f>
        <v/>
      </c>
      <c r="W21" s="0" t="str">
        <f aca="false">IF($B21="","",IF(Challenges!$L$26=1,IF($B21=Challenges!$D$26,Challenges!$K$26,IF(AND(V21&gt;=Challenges!$K$26,V21&lt;Challenges!$J$26),V21+1,V21)),V21))</f>
        <v/>
      </c>
      <c r="X21" s="0" t="str">
        <f aca="false">IF($B21="","",IF(Challenges!$L$27=1,IF($B21=Challenges!$D$27,Challenges!$K$27,IF(AND(W21&gt;=Challenges!$K$27,W21&lt;Challenges!$J$27),W21+1,W21)),W21))</f>
        <v/>
      </c>
      <c r="Y21" s="0" t="str">
        <f aca="false">IF($B21="","",IF(Challenges!$L$28=1,IF($B21=Challenges!$D$28,Challenges!$K$28,IF(AND(X21&gt;=Challenges!$K$28,X21&lt;Challenges!$J$28),X21+1,X21)),X21))</f>
        <v/>
      </c>
      <c r="Z21" s="0" t="str">
        <f aca="false">IF($B21="","",IF(Challenges!$L$29=1,IF($B21=Challenges!$D$29,Challenges!$K$29,IF(AND(Y21&gt;=Challenges!$K$29,Y21&lt;Challenges!$J$29),Y21+1,Y21)),Y21))</f>
        <v/>
      </c>
      <c r="AA21" s="0" t="str">
        <f aca="false">IF($B21="","",IF(Challenges!$L$30=1,IF($B21=Challenges!$D$30,Challenges!$K$30,IF(AND(Z21&gt;=Challenges!$K$30,Z21&lt;Challenges!$J$30),Z21+1,Z21)),Z21))</f>
        <v/>
      </c>
      <c r="AB21" s="0" t="str">
        <f aca="false">IF($B21="","",IF(Challenges!$L$31=1,IF($B21=Challenges!$D$31,Challenges!$K$31,IF(AND(AA21&gt;=Challenges!$K$31,AA21&lt;Challenges!$J$31),AA21+1,AA21)),AA21))</f>
        <v/>
      </c>
      <c r="AC21" s="0" t="str">
        <f aca="false">IF($B21="","",IF(Challenges!$L$32=1,IF($B21=Challenges!$D$32,Challenges!$K$32,IF(AND(AB21&gt;=Challenges!$K$32,AB21&lt;Challenges!$J$32),AB21+1,AB21)),AB21))</f>
        <v/>
      </c>
      <c r="AD21" s="0" t="str">
        <f aca="false">IF($B21="","",IF(Challenges!$L$33=1,IF($B21=Challenges!$D$33,Challenges!$K$33,IF(AND(AC21&gt;=Challenges!$K$33,AC21&lt;Challenges!$J$33),AC21+1,AC21)),AC21))</f>
        <v/>
      </c>
      <c r="AE21" s="0" t="str">
        <f aca="false">IF($B21="","",IF(Challenges!$L$34=1,IF($B21=Challenges!$D$34,Challenges!$K$34,IF(AND(AD21&gt;=Challenges!$K$34,AD21&lt;Challenges!$J$34),AD21+1,AD21)),AD21))</f>
        <v/>
      </c>
      <c r="AF21" s="0" t="str">
        <f aca="false">IF($B21="","",IF(Challenges!$L$35=1,IF($B21=Challenges!$D$35,Challenges!$K$35,IF(AND(AE21&gt;=Challenges!$K$35,AE21&lt;Challenges!$J$35),AE21+1,AE21)),AE21))</f>
        <v/>
      </c>
      <c r="AG21" s="0" t="str">
        <f aca="false">IF($B21="","",IF(Challenges!$L$36=1,IF($B21=Challenges!$D$36,Challenges!$K$36,IF(AND(AF21&gt;=Challenges!$K$36,AF21&lt;Challenges!$J$36),AF21+1,AF21)),AF21))</f>
        <v/>
      </c>
      <c r="AH21" s="0" t="str">
        <f aca="false">IF($B21="","",IF(Challenges!$L$37=1,IF($B21=Challenges!$D$37,Challenges!$K$37,IF(AND(AG21&gt;=Challenges!$K$37,AG21&lt;Challenges!$J$37),AG21+1,AG21)),AG21))</f>
        <v/>
      </c>
      <c r="AI21" s="0" t="str">
        <f aca="false">IF($B21="","",IF(Challenges!$L$38=1,IF($B21=Challenges!$D$38,Challenges!$K$38,IF(AND(AH21&gt;=Challenges!$K$38,AH21&lt;Challenges!$J$38),AH21+1,AH21)),AH21))</f>
        <v/>
      </c>
      <c r="AJ21" s="0" t="str">
        <f aca="false">IF($B21="","",IF(Challenges!$L$39=1,IF($B21=Challenges!$D$39,Challenges!$K$39,IF(AND(AI21&gt;=Challenges!$K$39,AI21&lt;Challenges!$J$39),AI21+1,AI21)),AI21))</f>
        <v/>
      </c>
      <c r="AK21" s="0" t="str">
        <f aca="false">IF($B21="","",IF(Challenges!$L$40=1,IF($B21=Challenges!$D$40,Challenges!$K$40,IF(AND(AJ21&gt;=Challenges!$K$40,AJ21&lt;Challenges!$J$40),AJ21+1,AJ21)),AJ21))</f>
        <v/>
      </c>
      <c r="AL21" s="0" t="str">
        <f aca="false">IF($B21="","",IF(Challenges!$L$41=1,IF($B21=Challenges!$D$41,Challenges!$K$41,IF(AND(AK21&gt;=Challenges!$K$41,AK21&lt;Challenges!$J$41),AK21+1,AK21)),AK21))</f>
        <v/>
      </c>
      <c r="AM21" s="0" t="str">
        <f aca="false">IF($B21="","",IF(Challenges!$L$42=1,IF($B21=Challenges!$D$42,Challenges!$K$42,IF(AND(AL21&gt;=Challenges!$K$42,AL21&lt;Challenges!$J$42),AL21+1,AL21)),AL21))</f>
        <v/>
      </c>
      <c r="AN21" s="0" t="str">
        <f aca="false">IF($B21="","",IF(Challenges!$L$43=1,IF($B21=Challenges!$D$43,Challenges!$K$43,IF(AND(AM21&gt;=Challenges!$K$43,AM21&lt;Challenges!$J$43),AM21+1,AM21)),AM21))</f>
        <v/>
      </c>
      <c r="AO21" s="0" t="str">
        <f aca="false">IF($B21="","",IF(Challenges!$L$44=1,IF($B21=Challenges!$D$44,Challenges!$K$44,IF(AND(AN21&gt;=Challenges!$K$44,AN21&lt;Challenges!$J$44),AN21+1,AN21)),AN21))</f>
        <v/>
      </c>
      <c r="AP21" s="0" t="str">
        <f aca="false">IF($B21="","",IF(Challenges!$L$45=1,IF($B21=Challenges!$D$45,Challenges!$K$45,IF(AND(AO21&gt;=Challenges!$K$45,AO21&lt;Challenges!$J$45),AO21+1,AO21)),AO21))</f>
        <v/>
      </c>
      <c r="AQ21" s="0" t="str">
        <f aca="false">IF($B21="","",IF(Challenges!$L$46=1,IF($B21=Challenges!$D$46,Challenges!$K$46,IF(AND(AP21&gt;=Challenges!$K$46,AP21&lt;Challenges!$J$46),AP21+1,AP21)),AP21))</f>
        <v/>
      </c>
      <c r="AR21" s="0" t="str">
        <f aca="false">IF($B21="","",IF(Challenges!$L$47=1,IF($B21=Challenges!$D$47,Challenges!$K$47,IF(AND(AQ21&gt;=Challenges!$K$47,AQ21&lt;Challenges!$J$47),AQ21+1,AQ21)),AQ21))</f>
        <v/>
      </c>
      <c r="AS21" s="0" t="str">
        <f aca="false">IF($B21="","",IF(Challenges!$L$48=1,IF($B21=Challenges!$D$48,Challenges!$K$48,IF(AND(AR21&gt;=Challenges!$K$48,AR21&lt;Challenges!$J$48),AR21+1,AR21)),AR21))</f>
        <v/>
      </c>
      <c r="AT21" s="0" t="str">
        <f aca="false">IF($B21="","",IF(Challenges!$L$49=1,IF($B21=Challenges!$D$49,Challenges!$K$49,IF(AND(AS21&gt;=Challenges!$K$49,AS21&lt;Challenges!$J$49),AS21+1,AS21)),AS21))</f>
        <v/>
      </c>
      <c r="AU21" s="0" t="str">
        <f aca="false">IF($B21="","",IF(Challenges!$L$50=1,IF($B21=Challenges!$D$50,Challenges!$K$50,IF(AND(AT21&gt;=Challenges!$K$50,AT21&lt;Challenges!$J$50),AT21+1,AT21)),AT21))</f>
        <v/>
      </c>
      <c r="AV21" s="0" t="str">
        <f aca="false">IF($B21="","",IF(Challenges!$L$51=1,IF($B21=Challenges!$D$51,Challenges!$K$51,IF(AND(AU21&gt;=Challenges!$K$51,AU21&lt;Challenges!$J$51),AU21+1,AU21)),AU21))</f>
        <v/>
      </c>
      <c r="AW21" s="0" t="str">
        <f aca="false">IF($B21="","",IF(Challenges!$L$52=1,IF($B21=Challenges!$D$52,Challenges!$K$52,IF(AND(AV21&gt;=Challenges!$K$52,AV21&lt;Challenges!$J$52),AV21+1,AV21)),AV21))</f>
        <v/>
      </c>
      <c r="AX21" s="0" t="str">
        <f aca="false">IF($B21="","",IF(Challenges!$L$53=1,IF($B21=Challenges!$D$53,Challenges!$K$53,IF(AND(AW21&gt;=Challenges!$K$53,AW21&lt;Challenges!$J$53),AW21+1,AW21)),AW21))</f>
        <v/>
      </c>
      <c r="AY21" s="0" t="str">
        <f aca="false">IF($B21="","",IF(Challenges!$L$54=1,IF($B21=Challenges!$D$54,Challenges!$K$54,IF(AND(AX21&gt;=Challenges!$K$54,AX21&lt;Challenges!$J$54),AX21+1,AX21)),AX21))</f>
        <v/>
      </c>
      <c r="AZ21" s="0" t="str">
        <f aca="false">IF($B21="","",IF(Challenges!$L$55=1,IF($B21=Challenges!$D$55,Challenges!$K$55,IF(AND(AY21&gt;=Challenges!$K$55,AY21&lt;Challenges!$J$55),AY21+1,AY21)),AY21))</f>
        <v/>
      </c>
      <c r="BA21" s="0" t="str">
        <f aca="false">IF($B21="","",IF(Challenges!$L$56=1,IF($B21=Challenges!$D$56,Challenges!$K$56,IF(AND(AZ21&gt;=Challenges!$K$56,AZ21&lt;Challenges!$J$56),AZ21+1,AZ21)),AZ21))</f>
        <v/>
      </c>
      <c r="BB21" s="0" t="str">
        <f aca="false">IF($B21="","",IF(Challenges!$L$57=1,IF($B21=Challenges!$D$57,Challenges!$K$57,IF(AND(BA21&gt;=Challenges!$K$57,BA21&lt;Challenges!$J$57),BA21+1,BA21)),BA21))</f>
        <v/>
      </c>
      <c r="BC21" s="0" t="str">
        <f aca="false">IF($B21="","",IF(Challenges!$L$58=1,IF($B21=Challenges!$D$58,Challenges!$K$58,IF(AND(BB21&gt;=Challenges!$K$58,BB21&lt;Challenges!$J$58),BB21+1,BB21)),BB21))</f>
        <v/>
      </c>
      <c r="BD21" s="0" t="str">
        <f aca="false">IF($B21="","",IF(Challenges!$L$59=1,IF($B21=Challenges!$D$59,Challenges!$K$59,IF(AND(BC21&gt;=Challenges!$K$59,BC21&lt;Challenges!$J$59),BC21+1,BC21)),BC21))</f>
        <v/>
      </c>
      <c r="BE21" s="0" t="str">
        <f aca="false">IF($B21="","",IF(Challenges!$L$60=1,IF($B21=Challenges!$D$60,Challenges!$K$60,IF(AND(BD21&gt;=Challenges!$K$60,BD21&lt;Challenges!$J$60),BD21+1,BD21)),BD21))</f>
        <v/>
      </c>
      <c r="BF21" s="0" t="str">
        <f aca="false">IF($B21="","",IF(Challenges!$L$61=1,IF($B21=Challenges!$D$61,Challenges!$K$61,IF(AND(BE21&gt;=Challenges!$K$61,BE21&lt;Challenges!$J$61),BE21+1,BE21)),BE21))</f>
        <v/>
      </c>
      <c r="BG21" s="0" t="str">
        <f aca="false">IF($B21="","",IF(Challenges!$L$62=1,IF($B21=Challenges!$D$62,Challenges!$K$62,IF(AND(BF21&gt;=Challenges!$K$62,BF21&lt;Challenges!$J$62),BF21+1,BF21)),BF21))</f>
        <v/>
      </c>
      <c r="BH21" s="0" t="str">
        <f aca="false">IF($B21="","",IF(Challenges!$L$63=1,IF($B21=Challenges!$D$63,Challenges!$K$63,IF(AND(BG21&gt;=Challenges!$K$63,BG21&lt;Challenges!$J$63),BG21+1,BG21)),BG21))</f>
        <v/>
      </c>
      <c r="BI21" s="0" t="str">
        <f aca="false">IF($B21="","",IF(Challenges!$L$64=1,IF($B21=Challenges!$D$64,Challenges!$K$64,IF(AND(BH21&gt;=Challenges!$K$64,BH21&lt;Challenges!$J$64),BH21+1,BH21)),BH21))</f>
        <v/>
      </c>
      <c r="BJ21" s="0" t="str">
        <f aca="false">IF($B21="","",IF(Challenges!$L$65=1,IF($B21=Challenges!$D$65,Challenges!$K$65,IF(AND(BI21&gt;=Challenges!$K$65,BI21&lt;Challenges!$J$65),BI21+1,BI21)),BI21))</f>
        <v/>
      </c>
      <c r="BK21" s="0" t="str">
        <f aca="false">IF($B21="","",IF(Challenges!$L$66=1,IF($B21=Challenges!$D$66,Challenges!$K$66,IF(AND(BJ21&gt;=Challenges!$K$66,BJ21&lt;Challenges!$J$66),BJ21+1,BJ21)),BJ21))</f>
        <v/>
      </c>
      <c r="BL21" s="0" t="str">
        <f aca="false">IF($B21="","",IF(Challenges!$L$67=1,IF($B21=Challenges!$D$67,Challenges!$K$67,IF(AND(BK21&gt;=Challenges!$K$67,BK21&lt;Challenges!$J$67),BK21+1,BK21)),BK21))</f>
        <v/>
      </c>
      <c r="BM21" s="0" t="str">
        <f aca="false">IF($B21="","",IF(Challenges!$L$68=1,IF($B21=Challenges!$D$68,Challenges!$K$68,IF(AND(BL21&gt;=Challenges!$K$68,BL21&lt;Challenges!$J$68),BL21+1,BL21)),BL21))</f>
        <v/>
      </c>
      <c r="BN21" s="0" t="str">
        <f aca="false">IF($B21="","",IF(Challenges!$L$69=1,IF($B21=Challenges!$D$69,Challenges!$K$69,IF(AND(BM21&gt;=Challenges!$K$69,BM21&lt;Challenges!$J$69),BM21+1,BM21)),BM21))</f>
        <v/>
      </c>
      <c r="BO21" s="0" t="str">
        <f aca="false">IF($B21="","",IF(Challenges!$L$70=1,IF($B21=Challenges!$D$70,Challenges!$K$70,IF(AND(BN21&gt;=Challenges!$K$70,BN21&lt;Challenges!$J$70),BN21+1,BN21)),BN21))</f>
        <v/>
      </c>
      <c r="BP21" s="0" t="str">
        <f aca="false">IF($B21="","",IF(Challenges!$L$71=1,IF($B21=Challenges!$D$71,Challenges!$K$71,IF(AND(BO21&gt;=Challenges!$K$71,BO21&lt;Challenges!$J$71),BO21+1,BO21)),BO21))</f>
        <v/>
      </c>
      <c r="BQ21" s="0" t="str">
        <f aca="false">IF($B21="","",IF(Challenges!$L$72=1,IF($B21=Challenges!$D$72,Challenges!$K$72,IF(AND(BP21&gt;=Challenges!$K$72,BP21&lt;Challenges!$J$72),BP21+1,BP21)),BP21))</f>
        <v/>
      </c>
      <c r="BR21" s="0" t="str">
        <f aca="false">IF($B21="","",IF(Challenges!$L$73=1,IF($B21=Challenges!$D$73,Challenges!$K$73,IF(AND(BQ21&gt;=Challenges!$K$73,BQ21&lt;Challenges!$J$73),BQ21+1,BQ21)),BQ21))</f>
        <v/>
      </c>
      <c r="BS21" s="0" t="str">
        <f aca="false">IF($B21="","",IF(Challenges!$L$74=1,IF($B21=Challenges!$D$74,Challenges!$K$74,IF(AND(BR21&gt;=Challenges!$K$74,BR21&lt;Challenges!$J$74),BR21+1,BR21)),BR21))</f>
        <v/>
      </c>
      <c r="BT21" s="0" t="str">
        <f aca="false">IF($B21="","",IF(Challenges!$L$75=1,IF($B21=Challenges!$D$75,Challenges!$K$75,IF(AND(BS21&gt;=Challenges!$K$75,BS21&lt;Challenges!$J$75),BS21+1,BS21)),BS21))</f>
        <v/>
      </c>
      <c r="BU21" s="0" t="str">
        <f aca="false">IF($B21="","",IF(Challenges!$L$76=1,IF($B21=Challenges!$D$76,Challenges!$K$76,IF(AND(BT21&gt;=Challenges!$K$76,BT21&lt;Challenges!$J$76),BT21+1,BT21)),BT21))</f>
        <v/>
      </c>
      <c r="BV21" s="0" t="str">
        <f aca="false">IF($B21="","",IF(Challenges!$L$77=1,IF($B21=Challenges!$D$77,Challenges!$K$77,IF(AND(BU21&gt;=Challenges!$K$77,BU21&lt;Challenges!$J$77),BU21+1,BU21)),BU21))</f>
        <v/>
      </c>
      <c r="BW21" s="0" t="str">
        <f aca="false">IF($B21="","",IF(Challenges!$L$78=1,IF($B21=Challenges!$D$78,Challenges!$K$78,IF(AND(BV21&gt;=Challenges!$K$78,BV21&lt;Challenges!$J$78),BV21+1,BV21)),BV21))</f>
        <v/>
      </c>
      <c r="BX21" s="0" t="str">
        <f aca="false">IF($B21="","",IF(Challenges!$L$79=1,IF($B21=Challenges!$D$79,Challenges!$K$79,IF(AND(BW21&gt;=Challenges!$K$79,BW21&lt;Challenges!$J$79),BW21+1,BW21)),BW21))</f>
        <v/>
      </c>
      <c r="BY21" s="0" t="str">
        <f aca="false">IF($B21="","",IF(Challenges!$L$80=1,IF($B21=Challenges!$D$80,Challenges!$K$80,IF(AND(BX21&gt;=Challenges!$K$80,BX21&lt;Challenges!$J$80),BX21+1,BX21)),BX21))</f>
        <v/>
      </c>
      <c r="BZ21" s="0" t="str">
        <f aca="false">IF($B21="","",IF(Challenges!$L$81=1,IF($B21=Challenges!$D$81,Challenges!$K$81,IF(AND(BY21&gt;=Challenges!$K$81,BY21&lt;Challenges!$J$81),BY21+1,BY21)),BY21))</f>
        <v/>
      </c>
      <c r="CA21" s="0" t="str">
        <f aca="false">IF($B21="","",IF(Challenges!$L$82=1,IF($B21=Challenges!$D$82,Challenges!$K$82,IF(AND(BZ21&gt;=Challenges!$K$82,BZ21&lt;Challenges!$J$82),BZ21+1,BZ21)),BZ21))</f>
        <v/>
      </c>
      <c r="CB21" s="0" t="str">
        <f aca="false">IF($B21="","",IF(Challenges!$L$83=1,IF($B21=Challenges!$D$83,Challenges!$K$83,IF(AND(CA21&gt;=Challenges!$K$83,CA21&lt;Challenges!$J$83),CA21+1,CA21)),CA21))</f>
        <v/>
      </c>
      <c r="CC21" s="0" t="str">
        <f aca="false">IF($B21="","",IF(Challenges!$L$84=1,IF($B21=Challenges!$D$84,Challenges!$K$84,IF(AND(CB21&gt;=Challenges!$K$84,CB21&lt;Challenges!$J$84),CB21+1,CB21)),CB21))</f>
        <v/>
      </c>
      <c r="CD21" s="0" t="str">
        <f aca="false">IF($B21="","",IF(Challenges!$L$85=1,IF($B21=Challenges!$D$85,Challenges!$K$85,IF(AND(CC21&gt;=Challenges!$K$85,CC21&lt;Challenges!$J$85),CC21+1,CC21)),CC21))</f>
        <v/>
      </c>
      <c r="CE21" s="0" t="str">
        <f aca="false">IF($B21="","",IF(Challenges!$L$86=1,IF($B21=Challenges!$D$86,Challenges!$K$86,IF(AND(CD21&gt;=Challenges!$K$86,CD21&lt;Challenges!$J$86),CD21+1,CD21)),CD21))</f>
        <v/>
      </c>
      <c r="CF21" s="0" t="str">
        <f aca="false">IF($B21="","",IF(Challenges!$L$87=1,IF($B21=Challenges!$D$87,Challenges!$K$87,IF(AND(CE21&gt;=Challenges!$K$87,CE21&lt;Challenges!$J$87),CE21+1,CE21)),CE21))</f>
        <v/>
      </c>
      <c r="CG21" s="0" t="str">
        <f aca="false">IF($B21="","",IF(Challenges!$L$88=1,IF($B21=Challenges!$D$88,Challenges!$K$88,IF(AND(CF21&gt;=Challenges!$K$88,CF21&lt;Challenges!$J$88),CF21+1,CF21)),CF21))</f>
        <v/>
      </c>
      <c r="CH21" s="0" t="str">
        <f aca="false">IF($B21="","",IF(Challenges!$L$89=1,IF($B21=Challenges!$D$89,Challenges!$K$89,IF(AND(CG21&gt;=Challenges!$K$89,CG21&lt;Challenges!$J$89),CG21+1,CG21)),CG21))</f>
        <v/>
      </c>
      <c r="CI21" s="0" t="str">
        <f aca="false">IF($B21="","",IF(Challenges!$L$90=1,IF($B21=Challenges!$D$90,Challenges!$K$90,IF(AND(CH21&gt;=Challenges!$K$90,CH21&lt;Challenges!$J$90),CH21+1,CH21)),CH21))</f>
        <v/>
      </c>
      <c r="CJ21" s="0" t="str">
        <f aca="false">IF($B21="","",IF(Challenges!$L$91=1,IF($B21=Challenges!$D$91,Challenges!$K$91,IF(AND(CI21&gt;=Challenges!$K$91,CI21&lt;Challenges!$J$91),CI21+1,CI21)),CI21))</f>
        <v/>
      </c>
      <c r="CK21" s="0" t="str">
        <f aca="false">IF($B21="","",IF(Challenges!$L$92=1,IF($B21=Challenges!$D$92,Challenges!$K$92,IF(AND(CJ21&gt;=Challenges!$K$92,CJ21&lt;Challenges!$J$92),CJ21+1,CJ21)),CJ21))</f>
        <v/>
      </c>
      <c r="CL21" s="0" t="str">
        <f aca="false">IF($B21="","",IF(Challenges!$L$93=1,IF($B21=Challenges!$D$93,Challenges!$K$93,IF(AND(CK21&gt;=Challenges!$K$93,CK21&lt;Challenges!$J$93),CK21+1,CK21)),CK21))</f>
        <v/>
      </c>
      <c r="CM21" s="0" t="str">
        <f aca="false">IF($B21="","",IF(Challenges!$L$94=1,IF($B21=Challenges!$D$94,Challenges!$K$94,IF(AND(CL21&gt;=Challenges!$K$94,CL21&lt;Challenges!$J$94),CL21+1,CL21)),CL21))</f>
        <v/>
      </c>
      <c r="CN21" s="0" t="str">
        <f aca="false">IF($B21="","",IF(Challenges!$L$95=1,IF($B21=Challenges!$D$95,Challenges!$K$95,IF(AND(CM21&gt;=Challenges!$K$95,CM21&lt;Challenges!$J$95),CM21+1,CM21)),CM21))</f>
        <v/>
      </c>
      <c r="CO21" s="0" t="str">
        <f aca="false">IF($B21="","",IF(Challenges!$L$96=1,IF($B21=Challenges!$D$96,Challenges!$K$96,IF(AND(CN21&gt;=Challenges!$K$96,CN21&lt;Challenges!$J$96),CN21+1,CN21)),CN21))</f>
        <v/>
      </c>
      <c r="CP21" s="0" t="str">
        <f aca="false">IF($B21="","",IF(Challenges!$L$97=1,IF($B21=Challenges!$D$97,Challenges!$K$97,IF(AND(CO21&gt;=Challenges!$K$97,CO21&lt;Challenges!$J$97),CO21+1,CO21)),CO21))</f>
        <v/>
      </c>
      <c r="CQ21" s="0" t="str">
        <f aca="false">IF($B21="","",IF(Challenges!$L$98=1,IF($B21=Challenges!$D$98,Challenges!$K$98,IF(AND(CP21&gt;=Challenges!$K$98,CP21&lt;Challenges!$J$98),CP21+1,CP21)),CP21))</f>
        <v/>
      </c>
      <c r="CR21" s="0" t="str">
        <f aca="false">IF($B21="","",IF(Challenges!$L$99=1,IF($B21=Challenges!$D$99,Challenges!$K$99,IF(AND(CQ21&gt;=Challenges!$K$99,CQ21&lt;Challenges!$J$99),CQ21+1,CQ21)),CQ21))</f>
        <v/>
      </c>
      <c r="CS21" s="0" t="str">
        <f aca="false">IF($B21="","",IF(Challenges!$L$100=1,IF($B21=Challenges!$D$100,Challenges!$K$100,IF(AND(CR21&gt;=Challenges!$K$100,CR21&lt;Challenges!$J$100),CR21+1,CR21)),CR21))</f>
        <v/>
      </c>
      <c r="CT21" s="0" t="str">
        <f aca="false">IF($B21="","",IF(Challenges!$L$101=1,IF($B21=Challenges!$D$101,Challenges!$K$101,IF(AND(CS21&gt;=Challenges!$K$101,CS21&lt;Challenges!$J$101),CS21+1,CS21)),CS21))</f>
        <v/>
      </c>
      <c r="CU21" s="0" t="str">
        <f aca="false">IF($B21="","",IF(Challenges!$L$102=1,IF($B21=Challenges!$D$102,Challenges!$K$102,IF(AND(CT21&gt;=Challenges!$K$102,CT21&lt;Challenges!$J$102),CT21+1,CT21)),CT21))</f>
        <v/>
      </c>
      <c r="CV21" s="0" t="str">
        <f aca="false">IF($B21="","",IF(Challenges!$L$103=1,IF($B21=Challenges!$D$103,Challenges!$K$103,IF(AND(CU21&gt;=Challenges!$K$103,CU21&lt;Challenges!$J$103),CU21+1,CU21)),CU21))</f>
        <v/>
      </c>
      <c r="CW21" s="0" t="str">
        <f aca="false">IF($B21="","",IF(Challenges!$L$104=1,IF($B21=Challenges!$D$104,Challenges!$K$104,IF(AND(CV21&gt;=Challenges!$K$104,CV21&lt;Challenges!$J$104),CV21+1,CV21)),CV21))</f>
        <v/>
      </c>
      <c r="CX21" s="0" t="str">
        <f aca="false">IF($B21="","",IF(Challenges!$L$105=1,IF($B21=Challenges!$D$105,Challenges!$K$105,IF(AND(CW21&gt;=Challenges!$K$105,CW21&lt;Challenges!$J$105),CW21+1,CW21)),CW21))</f>
        <v/>
      </c>
      <c r="CY21" s="0" t="str">
        <f aca="false">IF($B21="","",IF(Challenges!$L$106=1,IF($B21=Challenges!$D$106,Challenges!$K$106,IF(AND(CX21&gt;=Challenges!$K$106,CX21&lt;Challenges!$J$106),CX21+1,CX21)),CX21))</f>
        <v/>
      </c>
    </row>
    <row r="22" customFormat="false" ht="15" hidden="false" customHeight="false" outlineLevel="0" collapsed="false">
      <c r="B22" s="0" t="str">
        <f aca="false">IF(Ladder!$C22="","",Ladder!$C22)</f>
        <v/>
      </c>
      <c r="C22" s="0" t="str">
        <f aca="false">IF($B22="","",ROW()-6)</f>
        <v/>
      </c>
      <c r="D22" s="0" t="str">
        <f aca="false">IF($B22="","",IF(Challenges!$L$7=1,IF($B22=Challenges!$D$7,Challenges!$K$7,IF(AND(C22&gt;=Challenges!$K$7,C22&lt;Challenges!$J$7),C22+1,C22)),C22))</f>
        <v/>
      </c>
      <c r="E22" s="0" t="str">
        <f aca="false">IF($B22="","",IF(Challenges!$L$8=1,IF($B22=Challenges!$D$8,Challenges!$K$8,IF(AND(D22&gt;=Challenges!$K$8,D22&lt;Challenges!$J$8),D22+1,D22)),D22))</f>
        <v/>
      </c>
      <c r="F22" s="0" t="str">
        <f aca="false">IF($B22="","",IF(Challenges!$L$9=1,IF($B22=Challenges!$D$9,Challenges!$K$9,IF(AND(E22&gt;=Challenges!$K$9,E22&lt;Challenges!$J$9),E22+1,E22)),E22))</f>
        <v/>
      </c>
      <c r="G22" s="0" t="str">
        <f aca="false">IF($B22="","",IF(Challenges!$L$10=1,IF($B22=Challenges!$D$10,Challenges!$K$10,IF(AND(F22&gt;=Challenges!$K$10,F22&lt;Challenges!$J$10),F22+1,F22)),F22))</f>
        <v/>
      </c>
      <c r="H22" s="0" t="str">
        <f aca="false">IF($B22="","",IF(Challenges!$L$11=1,IF($B22=Challenges!$D$11,Challenges!$K$11,IF(AND(G22&gt;=Challenges!$K$11,G22&lt;Challenges!$J$11),G22+1,G22)),G22))</f>
        <v/>
      </c>
      <c r="I22" s="0" t="str">
        <f aca="false">IF($B22="","",IF(Challenges!$L$12=1,IF($B22=Challenges!$D$12,Challenges!$K$12,IF(AND(H22&gt;=Challenges!$K$12,H22&lt;Challenges!$J$12),H22+1,H22)),H22))</f>
        <v/>
      </c>
      <c r="J22" s="0" t="str">
        <f aca="false">IF($B22="","",IF(Challenges!$L$13=1,IF($B22=Challenges!$D$13,Challenges!$K$13,IF(AND(I22&gt;=Challenges!$K$13,I22&lt;Challenges!$J$13),I22+1,I22)),I22))</f>
        <v/>
      </c>
      <c r="K22" s="0" t="str">
        <f aca="false">IF($B22="","",IF(Challenges!$L$14=1,IF($B22=Challenges!$D$14,Challenges!$K$14,IF(AND(J22&gt;=Challenges!$K$14,J22&lt;Challenges!$J$14),J22+1,J22)),J22))</f>
        <v/>
      </c>
      <c r="L22" s="0" t="str">
        <f aca="false">IF($B22="","",IF(Challenges!$L$15=1,IF($B22=Challenges!$D$15,Challenges!$K$15,IF(AND(K22&gt;=Challenges!$K$15,K22&lt;Challenges!$J$15),K22+1,K22)),K22))</f>
        <v/>
      </c>
      <c r="M22" s="0" t="str">
        <f aca="false">IF($B22="","",IF(Challenges!$L$16=1,IF($B22=Challenges!$D$16,Challenges!$K$16,IF(AND(L22&gt;=Challenges!$K$16,L22&lt;Challenges!$J$16),L22+1,L22)),L22))</f>
        <v/>
      </c>
      <c r="N22" s="0" t="str">
        <f aca="false">IF($B22="","",IF(Challenges!$L$17=1,IF($B22=Challenges!$D$17,Challenges!$K$17,IF(AND(M22&gt;=Challenges!$K$17,M22&lt;Challenges!$J$17),M22+1,M22)),M22))</f>
        <v/>
      </c>
      <c r="O22" s="0" t="str">
        <f aca="false">IF($B22="","",IF(Challenges!$L$18=1,IF($B22=Challenges!$D$18,Challenges!$K$18,IF(AND(N22&gt;=Challenges!$K$18,N22&lt;Challenges!$J$18),N22+1,N22)),N22))</f>
        <v/>
      </c>
      <c r="P22" s="0" t="str">
        <f aca="false">IF($B22="","",IF(Challenges!$L$19=1,IF($B22=Challenges!$D$19,Challenges!$K$19,IF(AND(O22&gt;=Challenges!$K$19,O22&lt;Challenges!$J$19),O22+1,O22)),O22))</f>
        <v/>
      </c>
      <c r="Q22" s="0" t="str">
        <f aca="false">IF($B22="","",IF(Challenges!$L$20=1,IF($B22=Challenges!$D$20,Challenges!$K$20,IF(AND(P22&gt;=Challenges!$K$20,P22&lt;Challenges!$J$20),P22+1,P22)),P22))</f>
        <v/>
      </c>
      <c r="R22" s="0" t="str">
        <f aca="false">IF($B22="","",IF(Challenges!$L$21=1,IF($B22=Challenges!$D$21,Challenges!$K$21,IF(AND(Q22&gt;=Challenges!$K$21,Q22&lt;Challenges!$J$21),Q22+1,Q22)),Q22))</f>
        <v/>
      </c>
      <c r="S22" s="0" t="str">
        <f aca="false">IF($B22="","",IF(Challenges!$L$22=1,IF($B22=Challenges!$D$22,Challenges!$K$22,IF(AND(R22&gt;=Challenges!$K$22,R22&lt;Challenges!$J$22),R22+1,R22)),R22))</f>
        <v/>
      </c>
      <c r="T22" s="0" t="str">
        <f aca="false">IF($B22="","",IF(Challenges!$L$23=1,IF($B22=Challenges!$D$23,Challenges!$K$23,IF(AND(S22&gt;=Challenges!$K$23,S22&lt;Challenges!$J$23),S22+1,S22)),S22))</f>
        <v/>
      </c>
      <c r="U22" s="0" t="str">
        <f aca="false">IF($B22="","",IF(Challenges!$L$24=1,IF($B22=Challenges!$D$24,Challenges!$K$24,IF(AND(T22&gt;=Challenges!$K$24,T22&lt;Challenges!$J$24),T22+1,T22)),T22))</f>
        <v/>
      </c>
      <c r="V22" s="0" t="str">
        <f aca="false">IF($B22="","",IF(Challenges!$L$25=1,IF($B22=Challenges!$D$25,Challenges!$K$25,IF(AND(U22&gt;=Challenges!$K$25,U22&lt;Challenges!$J$25),U22+1,U22)),U22))</f>
        <v/>
      </c>
      <c r="W22" s="0" t="str">
        <f aca="false">IF($B22="","",IF(Challenges!$L$26=1,IF($B22=Challenges!$D$26,Challenges!$K$26,IF(AND(V22&gt;=Challenges!$K$26,V22&lt;Challenges!$J$26),V22+1,V22)),V22))</f>
        <v/>
      </c>
      <c r="X22" s="0" t="str">
        <f aca="false">IF($B22="","",IF(Challenges!$L$27=1,IF($B22=Challenges!$D$27,Challenges!$K$27,IF(AND(W22&gt;=Challenges!$K$27,W22&lt;Challenges!$J$27),W22+1,W22)),W22))</f>
        <v/>
      </c>
      <c r="Y22" s="0" t="str">
        <f aca="false">IF($B22="","",IF(Challenges!$L$28=1,IF($B22=Challenges!$D$28,Challenges!$K$28,IF(AND(X22&gt;=Challenges!$K$28,X22&lt;Challenges!$J$28),X22+1,X22)),X22))</f>
        <v/>
      </c>
      <c r="Z22" s="0" t="str">
        <f aca="false">IF($B22="","",IF(Challenges!$L$29=1,IF($B22=Challenges!$D$29,Challenges!$K$29,IF(AND(Y22&gt;=Challenges!$K$29,Y22&lt;Challenges!$J$29),Y22+1,Y22)),Y22))</f>
        <v/>
      </c>
      <c r="AA22" s="0" t="str">
        <f aca="false">IF($B22="","",IF(Challenges!$L$30=1,IF($B22=Challenges!$D$30,Challenges!$K$30,IF(AND(Z22&gt;=Challenges!$K$30,Z22&lt;Challenges!$J$30),Z22+1,Z22)),Z22))</f>
        <v/>
      </c>
      <c r="AB22" s="0" t="str">
        <f aca="false">IF($B22="","",IF(Challenges!$L$31=1,IF($B22=Challenges!$D$31,Challenges!$K$31,IF(AND(AA22&gt;=Challenges!$K$31,AA22&lt;Challenges!$J$31),AA22+1,AA22)),AA22))</f>
        <v/>
      </c>
      <c r="AC22" s="0" t="str">
        <f aca="false">IF($B22="","",IF(Challenges!$L$32=1,IF($B22=Challenges!$D$32,Challenges!$K$32,IF(AND(AB22&gt;=Challenges!$K$32,AB22&lt;Challenges!$J$32),AB22+1,AB22)),AB22))</f>
        <v/>
      </c>
      <c r="AD22" s="0" t="str">
        <f aca="false">IF($B22="","",IF(Challenges!$L$33=1,IF($B22=Challenges!$D$33,Challenges!$K$33,IF(AND(AC22&gt;=Challenges!$K$33,AC22&lt;Challenges!$J$33),AC22+1,AC22)),AC22))</f>
        <v/>
      </c>
      <c r="AE22" s="0" t="str">
        <f aca="false">IF($B22="","",IF(Challenges!$L$34=1,IF($B22=Challenges!$D$34,Challenges!$K$34,IF(AND(AD22&gt;=Challenges!$K$34,AD22&lt;Challenges!$J$34),AD22+1,AD22)),AD22))</f>
        <v/>
      </c>
      <c r="AF22" s="0" t="str">
        <f aca="false">IF($B22="","",IF(Challenges!$L$35=1,IF($B22=Challenges!$D$35,Challenges!$K$35,IF(AND(AE22&gt;=Challenges!$K$35,AE22&lt;Challenges!$J$35),AE22+1,AE22)),AE22))</f>
        <v/>
      </c>
      <c r="AG22" s="0" t="str">
        <f aca="false">IF($B22="","",IF(Challenges!$L$36=1,IF($B22=Challenges!$D$36,Challenges!$K$36,IF(AND(AF22&gt;=Challenges!$K$36,AF22&lt;Challenges!$J$36),AF22+1,AF22)),AF22))</f>
        <v/>
      </c>
      <c r="AH22" s="0" t="str">
        <f aca="false">IF($B22="","",IF(Challenges!$L$37=1,IF($B22=Challenges!$D$37,Challenges!$K$37,IF(AND(AG22&gt;=Challenges!$K$37,AG22&lt;Challenges!$J$37),AG22+1,AG22)),AG22))</f>
        <v/>
      </c>
      <c r="AI22" s="0" t="str">
        <f aca="false">IF($B22="","",IF(Challenges!$L$38=1,IF($B22=Challenges!$D$38,Challenges!$K$38,IF(AND(AH22&gt;=Challenges!$K$38,AH22&lt;Challenges!$J$38),AH22+1,AH22)),AH22))</f>
        <v/>
      </c>
      <c r="AJ22" s="0" t="str">
        <f aca="false">IF($B22="","",IF(Challenges!$L$39=1,IF($B22=Challenges!$D$39,Challenges!$K$39,IF(AND(AI22&gt;=Challenges!$K$39,AI22&lt;Challenges!$J$39),AI22+1,AI22)),AI22))</f>
        <v/>
      </c>
      <c r="AK22" s="0" t="str">
        <f aca="false">IF($B22="","",IF(Challenges!$L$40=1,IF($B22=Challenges!$D$40,Challenges!$K$40,IF(AND(AJ22&gt;=Challenges!$K$40,AJ22&lt;Challenges!$J$40),AJ22+1,AJ22)),AJ22))</f>
        <v/>
      </c>
      <c r="AL22" s="0" t="str">
        <f aca="false">IF($B22="","",IF(Challenges!$L$41=1,IF($B22=Challenges!$D$41,Challenges!$K$41,IF(AND(AK22&gt;=Challenges!$K$41,AK22&lt;Challenges!$J$41),AK22+1,AK22)),AK22))</f>
        <v/>
      </c>
      <c r="AM22" s="0" t="str">
        <f aca="false">IF($B22="","",IF(Challenges!$L$42=1,IF($B22=Challenges!$D$42,Challenges!$K$42,IF(AND(AL22&gt;=Challenges!$K$42,AL22&lt;Challenges!$J$42),AL22+1,AL22)),AL22))</f>
        <v/>
      </c>
      <c r="AN22" s="0" t="str">
        <f aca="false">IF($B22="","",IF(Challenges!$L$43=1,IF($B22=Challenges!$D$43,Challenges!$K$43,IF(AND(AM22&gt;=Challenges!$K$43,AM22&lt;Challenges!$J$43),AM22+1,AM22)),AM22))</f>
        <v/>
      </c>
      <c r="AO22" s="0" t="str">
        <f aca="false">IF($B22="","",IF(Challenges!$L$44=1,IF($B22=Challenges!$D$44,Challenges!$K$44,IF(AND(AN22&gt;=Challenges!$K$44,AN22&lt;Challenges!$J$44),AN22+1,AN22)),AN22))</f>
        <v/>
      </c>
      <c r="AP22" s="0" t="str">
        <f aca="false">IF($B22="","",IF(Challenges!$L$45=1,IF($B22=Challenges!$D$45,Challenges!$K$45,IF(AND(AO22&gt;=Challenges!$K$45,AO22&lt;Challenges!$J$45),AO22+1,AO22)),AO22))</f>
        <v/>
      </c>
      <c r="AQ22" s="0" t="str">
        <f aca="false">IF($B22="","",IF(Challenges!$L$46=1,IF($B22=Challenges!$D$46,Challenges!$K$46,IF(AND(AP22&gt;=Challenges!$K$46,AP22&lt;Challenges!$J$46),AP22+1,AP22)),AP22))</f>
        <v/>
      </c>
      <c r="AR22" s="0" t="str">
        <f aca="false">IF($B22="","",IF(Challenges!$L$47=1,IF($B22=Challenges!$D$47,Challenges!$K$47,IF(AND(AQ22&gt;=Challenges!$K$47,AQ22&lt;Challenges!$J$47),AQ22+1,AQ22)),AQ22))</f>
        <v/>
      </c>
      <c r="AS22" s="0" t="str">
        <f aca="false">IF($B22="","",IF(Challenges!$L$48=1,IF($B22=Challenges!$D$48,Challenges!$K$48,IF(AND(AR22&gt;=Challenges!$K$48,AR22&lt;Challenges!$J$48),AR22+1,AR22)),AR22))</f>
        <v/>
      </c>
      <c r="AT22" s="0" t="str">
        <f aca="false">IF($B22="","",IF(Challenges!$L$49=1,IF($B22=Challenges!$D$49,Challenges!$K$49,IF(AND(AS22&gt;=Challenges!$K$49,AS22&lt;Challenges!$J$49),AS22+1,AS22)),AS22))</f>
        <v/>
      </c>
      <c r="AU22" s="0" t="str">
        <f aca="false">IF($B22="","",IF(Challenges!$L$50=1,IF($B22=Challenges!$D$50,Challenges!$K$50,IF(AND(AT22&gt;=Challenges!$K$50,AT22&lt;Challenges!$J$50),AT22+1,AT22)),AT22))</f>
        <v/>
      </c>
      <c r="AV22" s="0" t="str">
        <f aca="false">IF($B22="","",IF(Challenges!$L$51=1,IF($B22=Challenges!$D$51,Challenges!$K$51,IF(AND(AU22&gt;=Challenges!$K$51,AU22&lt;Challenges!$J$51),AU22+1,AU22)),AU22))</f>
        <v/>
      </c>
      <c r="AW22" s="0" t="str">
        <f aca="false">IF($B22="","",IF(Challenges!$L$52=1,IF($B22=Challenges!$D$52,Challenges!$K$52,IF(AND(AV22&gt;=Challenges!$K$52,AV22&lt;Challenges!$J$52),AV22+1,AV22)),AV22))</f>
        <v/>
      </c>
      <c r="AX22" s="0" t="str">
        <f aca="false">IF($B22="","",IF(Challenges!$L$53=1,IF($B22=Challenges!$D$53,Challenges!$K$53,IF(AND(AW22&gt;=Challenges!$K$53,AW22&lt;Challenges!$J$53),AW22+1,AW22)),AW22))</f>
        <v/>
      </c>
      <c r="AY22" s="0" t="str">
        <f aca="false">IF($B22="","",IF(Challenges!$L$54=1,IF($B22=Challenges!$D$54,Challenges!$K$54,IF(AND(AX22&gt;=Challenges!$K$54,AX22&lt;Challenges!$J$54),AX22+1,AX22)),AX22))</f>
        <v/>
      </c>
      <c r="AZ22" s="0" t="str">
        <f aca="false">IF($B22="","",IF(Challenges!$L$55=1,IF($B22=Challenges!$D$55,Challenges!$K$55,IF(AND(AY22&gt;=Challenges!$K$55,AY22&lt;Challenges!$J$55),AY22+1,AY22)),AY22))</f>
        <v/>
      </c>
      <c r="BA22" s="0" t="str">
        <f aca="false">IF($B22="","",IF(Challenges!$L$56=1,IF($B22=Challenges!$D$56,Challenges!$K$56,IF(AND(AZ22&gt;=Challenges!$K$56,AZ22&lt;Challenges!$J$56),AZ22+1,AZ22)),AZ22))</f>
        <v/>
      </c>
      <c r="BB22" s="0" t="str">
        <f aca="false">IF($B22="","",IF(Challenges!$L$57=1,IF($B22=Challenges!$D$57,Challenges!$K$57,IF(AND(BA22&gt;=Challenges!$K$57,BA22&lt;Challenges!$J$57),BA22+1,BA22)),BA22))</f>
        <v/>
      </c>
      <c r="BC22" s="0" t="str">
        <f aca="false">IF($B22="","",IF(Challenges!$L$58=1,IF($B22=Challenges!$D$58,Challenges!$K$58,IF(AND(BB22&gt;=Challenges!$K$58,BB22&lt;Challenges!$J$58),BB22+1,BB22)),BB22))</f>
        <v/>
      </c>
      <c r="BD22" s="0" t="str">
        <f aca="false">IF($B22="","",IF(Challenges!$L$59=1,IF($B22=Challenges!$D$59,Challenges!$K$59,IF(AND(BC22&gt;=Challenges!$K$59,BC22&lt;Challenges!$J$59),BC22+1,BC22)),BC22))</f>
        <v/>
      </c>
      <c r="BE22" s="0" t="str">
        <f aca="false">IF($B22="","",IF(Challenges!$L$60=1,IF($B22=Challenges!$D$60,Challenges!$K$60,IF(AND(BD22&gt;=Challenges!$K$60,BD22&lt;Challenges!$J$60),BD22+1,BD22)),BD22))</f>
        <v/>
      </c>
      <c r="BF22" s="0" t="str">
        <f aca="false">IF($B22="","",IF(Challenges!$L$61=1,IF($B22=Challenges!$D$61,Challenges!$K$61,IF(AND(BE22&gt;=Challenges!$K$61,BE22&lt;Challenges!$J$61),BE22+1,BE22)),BE22))</f>
        <v/>
      </c>
      <c r="BG22" s="0" t="str">
        <f aca="false">IF($B22="","",IF(Challenges!$L$62=1,IF($B22=Challenges!$D$62,Challenges!$K$62,IF(AND(BF22&gt;=Challenges!$K$62,BF22&lt;Challenges!$J$62),BF22+1,BF22)),BF22))</f>
        <v/>
      </c>
      <c r="BH22" s="0" t="str">
        <f aca="false">IF($B22="","",IF(Challenges!$L$63=1,IF($B22=Challenges!$D$63,Challenges!$K$63,IF(AND(BG22&gt;=Challenges!$K$63,BG22&lt;Challenges!$J$63),BG22+1,BG22)),BG22))</f>
        <v/>
      </c>
      <c r="BI22" s="0" t="str">
        <f aca="false">IF($B22="","",IF(Challenges!$L$64=1,IF($B22=Challenges!$D$64,Challenges!$K$64,IF(AND(BH22&gt;=Challenges!$K$64,BH22&lt;Challenges!$J$64),BH22+1,BH22)),BH22))</f>
        <v/>
      </c>
      <c r="BJ22" s="0" t="str">
        <f aca="false">IF($B22="","",IF(Challenges!$L$65=1,IF($B22=Challenges!$D$65,Challenges!$K$65,IF(AND(BI22&gt;=Challenges!$K$65,BI22&lt;Challenges!$J$65),BI22+1,BI22)),BI22))</f>
        <v/>
      </c>
      <c r="BK22" s="0" t="str">
        <f aca="false">IF($B22="","",IF(Challenges!$L$66=1,IF($B22=Challenges!$D$66,Challenges!$K$66,IF(AND(BJ22&gt;=Challenges!$K$66,BJ22&lt;Challenges!$J$66),BJ22+1,BJ22)),BJ22))</f>
        <v/>
      </c>
      <c r="BL22" s="0" t="str">
        <f aca="false">IF($B22="","",IF(Challenges!$L$67=1,IF($B22=Challenges!$D$67,Challenges!$K$67,IF(AND(BK22&gt;=Challenges!$K$67,BK22&lt;Challenges!$J$67),BK22+1,BK22)),BK22))</f>
        <v/>
      </c>
      <c r="BM22" s="0" t="str">
        <f aca="false">IF($B22="","",IF(Challenges!$L$68=1,IF($B22=Challenges!$D$68,Challenges!$K$68,IF(AND(BL22&gt;=Challenges!$K$68,BL22&lt;Challenges!$J$68),BL22+1,BL22)),BL22))</f>
        <v/>
      </c>
      <c r="BN22" s="0" t="str">
        <f aca="false">IF($B22="","",IF(Challenges!$L$69=1,IF($B22=Challenges!$D$69,Challenges!$K$69,IF(AND(BM22&gt;=Challenges!$K$69,BM22&lt;Challenges!$J$69),BM22+1,BM22)),BM22))</f>
        <v/>
      </c>
      <c r="BO22" s="0" t="str">
        <f aca="false">IF($B22="","",IF(Challenges!$L$70=1,IF($B22=Challenges!$D$70,Challenges!$K$70,IF(AND(BN22&gt;=Challenges!$K$70,BN22&lt;Challenges!$J$70),BN22+1,BN22)),BN22))</f>
        <v/>
      </c>
      <c r="BP22" s="0" t="str">
        <f aca="false">IF($B22="","",IF(Challenges!$L$71=1,IF($B22=Challenges!$D$71,Challenges!$K$71,IF(AND(BO22&gt;=Challenges!$K$71,BO22&lt;Challenges!$J$71),BO22+1,BO22)),BO22))</f>
        <v/>
      </c>
      <c r="BQ22" s="0" t="str">
        <f aca="false">IF($B22="","",IF(Challenges!$L$72=1,IF($B22=Challenges!$D$72,Challenges!$K$72,IF(AND(BP22&gt;=Challenges!$K$72,BP22&lt;Challenges!$J$72),BP22+1,BP22)),BP22))</f>
        <v/>
      </c>
      <c r="BR22" s="0" t="str">
        <f aca="false">IF($B22="","",IF(Challenges!$L$73=1,IF($B22=Challenges!$D$73,Challenges!$K$73,IF(AND(BQ22&gt;=Challenges!$K$73,BQ22&lt;Challenges!$J$73),BQ22+1,BQ22)),BQ22))</f>
        <v/>
      </c>
      <c r="BS22" s="0" t="str">
        <f aca="false">IF($B22="","",IF(Challenges!$L$74=1,IF($B22=Challenges!$D$74,Challenges!$K$74,IF(AND(BR22&gt;=Challenges!$K$74,BR22&lt;Challenges!$J$74),BR22+1,BR22)),BR22))</f>
        <v/>
      </c>
      <c r="BT22" s="0" t="str">
        <f aca="false">IF($B22="","",IF(Challenges!$L$75=1,IF($B22=Challenges!$D$75,Challenges!$K$75,IF(AND(BS22&gt;=Challenges!$K$75,BS22&lt;Challenges!$J$75),BS22+1,BS22)),BS22))</f>
        <v/>
      </c>
      <c r="BU22" s="0" t="str">
        <f aca="false">IF($B22="","",IF(Challenges!$L$76=1,IF($B22=Challenges!$D$76,Challenges!$K$76,IF(AND(BT22&gt;=Challenges!$K$76,BT22&lt;Challenges!$J$76),BT22+1,BT22)),BT22))</f>
        <v/>
      </c>
      <c r="BV22" s="0" t="str">
        <f aca="false">IF($B22="","",IF(Challenges!$L$77=1,IF($B22=Challenges!$D$77,Challenges!$K$77,IF(AND(BU22&gt;=Challenges!$K$77,BU22&lt;Challenges!$J$77),BU22+1,BU22)),BU22))</f>
        <v/>
      </c>
      <c r="BW22" s="0" t="str">
        <f aca="false">IF($B22="","",IF(Challenges!$L$78=1,IF($B22=Challenges!$D$78,Challenges!$K$78,IF(AND(BV22&gt;=Challenges!$K$78,BV22&lt;Challenges!$J$78),BV22+1,BV22)),BV22))</f>
        <v/>
      </c>
      <c r="BX22" s="0" t="str">
        <f aca="false">IF($B22="","",IF(Challenges!$L$79=1,IF($B22=Challenges!$D$79,Challenges!$K$79,IF(AND(BW22&gt;=Challenges!$K$79,BW22&lt;Challenges!$J$79),BW22+1,BW22)),BW22))</f>
        <v/>
      </c>
      <c r="BY22" s="0" t="str">
        <f aca="false">IF($B22="","",IF(Challenges!$L$80=1,IF($B22=Challenges!$D$80,Challenges!$K$80,IF(AND(BX22&gt;=Challenges!$K$80,BX22&lt;Challenges!$J$80),BX22+1,BX22)),BX22))</f>
        <v/>
      </c>
      <c r="BZ22" s="0" t="str">
        <f aca="false">IF($B22="","",IF(Challenges!$L$81=1,IF($B22=Challenges!$D$81,Challenges!$K$81,IF(AND(BY22&gt;=Challenges!$K$81,BY22&lt;Challenges!$J$81),BY22+1,BY22)),BY22))</f>
        <v/>
      </c>
      <c r="CA22" s="0" t="str">
        <f aca="false">IF($B22="","",IF(Challenges!$L$82=1,IF($B22=Challenges!$D$82,Challenges!$K$82,IF(AND(BZ22&gt;=Challenges!$K$82,BZ22&lt;Challenges!$J$82),BZ22+1,BZ22)),BZ22))</f>
        <v/>
      </c>
      <c r="CB22" s="0" t="str">
        <f aca="false">IF($B22="","",IF(Challenges!$L$83=1,IF($B22=Challenges!$D$83,Challenges!$K$83,IF(AND(CA22&gt;=Challenges!$K$83,CA22&lt;Challenges!$J$83),CA22+1,CA22)),CA22))</f>
        <v/>
      </c>
      <c r="CC22" s="0" t="str">
        <f aca="false">IF($B22="","",IF(Challenges!$L$84=1,IF($B22=Challenges!$D$84,Challenges!$K$84,IF(AND(CB22&gt;=Challenges!$K$84,CB22&lt;Challenges!$J$84),CB22+1,CB22)),CB22))</f>
        <v/>
      </c>
      <c r="CD22" s="0" t="str">
        <f aca="false">IF($B22="","",IF(Challenges!$L$85=1,IF($B22=Challenges!$D$85,Challenges!$K$85,IF(AND(CC22&gt;=Challenges!$K$85,CC22&lt;Challenges!$J$85),CC22+1,CC22)),CC22))</f>
        <v/>
      </c>
      <c r="CE22" s="0" t="str">
        <f aca="false">IF($B22="","",IF(Challenges!$L$86=1,IF($B22=Challenges!$D$86,Challenges!$K$86,IF(AND(CD22&gt;=Challenges!$K$86,CD22&lt;Challenges!$J$86),CD22+1,CD22)),CD22))</f>
        <v/>
      </c>
      <c r="CF22" s="0" t="str">
        <f aca="false">IF($B22="","",IF(Challenges!$L$87=1,IF($B22=Challenges!$D$87,Challenges!$K$87,IF(AND(CE22&gt;=Challenges!$K$87,CE22&lt;Challenges!$J$87),CE22+1,CE22)),CE22))</f>
        <v/>
      </c>
      <c r="CG22" s="0" t="str">
        <f aca="false">IF($B22="","",IF(Challenges!$L$88=1,IF($B22=Challenges!$D$88,Challenges!$K$88,IF(AND(CF22&gt;=Challenges!$K$88,CF22&lt;Challenges!$J$88),CF22+1,CF22)),CF22))</f>
        <v/>
      </c>
      <c r="CH22" s="0" t="str">
        <f aca="false">IF($B22="","",IF(Challenges!$L$89=1,IF($B22=Challenges!$D$89,Challenges!$K$89,IF(AND(CG22&gt;=Challenges!$K$89,CG22&lt;Challenges!$J$89),CG22+1,CG22)),CG22))</f>
        <v/>
      </c>
      <c r="CI22" s="0" t="str">
        <f aca="false">IF($B22="","",IF(Challenges!$L$90=1,IF($B22=Challenges!$D$90,Challenges!$K$90,IF(AND(CH22&gt;=Challenges!$K$90,CH22&lt;Challenges!$J$90),CH22+1,CH22)),CH22))</f>
        <v/>
      </c>
      <c r="CJ22" s="0" t="str">
        <f aca="false">IF($B22="","",IF(Challenges!$L$91=1,IF($B22=Challenges!$D$91,Challenges!$K$91,IF(AND(CI22&gt;=Challenges!$K$91,CI22&lt;Challenges!$J$91),CI22+1,CI22)),CI22))</f>
        <v/>
      </c>
      <c r="CK22" s="0" t="str">
        <f aca="false">IF($B22="","",IF(Challenges!$L$92=1,IF($B22=Challenges!$D$92,Challenges!$K$92,IF(AND(CJ22&gt;=Challenges!$K$92,CJ22&lt;Challenges!$J$92),CJ22+1,CJ22)),CJ22))</f>
        <v/>
      </c>
      <c r="CL22" s="0" t="str">
        <f aca="false">IF($B22="","",IF(Challenges!$L$93=1,IF($B22=Challenges!$D$93,Challenges!$K$93,IF(AND(CK22&gt;=Challenges!$K$93,CK22&lt;Challenges!$J$93),CK22+1,CK22)),CK22))</f>
        <v/>
      </c>
      <c r="CM22" s="0" t="str">
        <f aca="false">IF($B22="","",IF(Challenges!$L$94=1,IF($B22=Challenges!$D$94,Challenges!$K$94,IF(AND(CL22&gt;=Challenges!$K$94,CL22&lt;Challenges!$J$94),CL22+1,CL22)),CL22))</f>
        <v/>
      </c>
      <c r="CN22" s="0" t="str">
        <f aca="false">IF($B22="","",IF(Challenges!$L$95=1,IF($B22=Challenges!$D$95,Challenges!$K$95,IF(AND(CM22&gt;=Challenges!$K$95,CM22&lt;Challenges!$J$95),CM22+1,CM22)),CM22))</f>
        <v/>
      </c>
      <c r="CO22" s="0" t="str">
        <f aca="false">IF($B22="","",IF(Challenges!$L$96=1,IF($B22=Challenges!$D$96,Challenges!$K$96,IF(AND(CN22&gt;=Challenges!$K$96,CN22&lt;Challenges!$J$96),CN22+1,CN22)),CN22))</f>
        <v/>
      </c>
      <c r="CP22" s="0" t="str">
        <f aca="false">IF($B22="","",IF(Challenges!$L$97=1,IF($B22=Challenges!$D$97,Challenges!$K$97,IF(AND(CO22&gt;=Challenges!$K$97,CO22&lt;Challenges!$J$97),CO22+1,CO22)),CO22))</f>
        <v/>
      </c>
      <c r="CQ22" s="0" t="str">
        <f aca="false">IF($B22="","",IF(Challenges!$L$98=1,IF($B22=Challenges!$D$98,Challenges!$K$98,IF(AND(CP22&gt;=Challenges!$K$98,CP22&lt;Challenges!$J$98),CP22+1,CP22)),CP22))</f>
        <v/>
      </c>
      <c r="CR22" s="0" t="str">
        <f aca="false">IF($B22="","",IF(Challenges!$L$99=1,IF($B22=Challenges!$D$99,Challenges!$K$99,IF(AND(CQ22&gt;=Challenges!$K$99,CQ22&lt;Challenges!$J$99),CQ22+1,CQ22)),CQ22))</f>
        <v/>
      </c>
      <c r="CS22" s="0" t="str">
        <f aca="false">IF($B22="","",IF(Challenges!$L$100=1,IF($B22=Challenges!$D$100,Challenges!$K$100,IF(AND(CR22&gt;=Challenges!$K$100,CR22&lt;Challenges!$J$100),CR22+1,CR22)),CR22))</f>
        <v/>
      </c>
      <c r="CT22" s="0" t="str">
        <f aca="false">IF($B22="","",IF(Challenges!$L$101=1,IF($B22=Challenges!$D$101,Challenges!$K$101,IF(AND(CS22&gt;=Challenges!$K$101,CS22&lt;Challenges!$J$101),CS22+1,CS22)),CS22))</f>
        <v/>
      </c>
      <c r="CU22" s="0" t="str">
        <f aca="false">IF($B22="","",IF(Challenges!$L$102=1,IF($B22=Challenges!$D$102,Challenges!$K$102,IF(AND(CT22&gt;=Challenges!$K$102,CT22&lt;Challenges!$J$102),CT22+1,CT22)),CT22))</f>
        <v/>
      </c>
      <c r="CV22" s="0" t="str">
        <f aca="false">IF($B22="","",IF(Challenges!$L$103=1,IF($B22=Challenges!$D$103,Challenges!$K$103,IF(AND(CU22&gt;=Challenges!$K$103,CU22&lt;Challenges!$J$103),CU22+1,CU22)),CU22))</f>
        <v/>
      </c>
      <c r="CW22" s="0" t="str">
        <f aca="false">IF($B22="","",IF(Challenges!$L$104=1,IF($B22=Challenges!$D$104,Challenges!$K$104,IF(AND(CV22&gt;=Challenges!$K$104,CV22&lt;Challenges!$J$104),CV22+1,CV22)),CV22))</f>
        <v/>
      </c>
      <c r="CX22" s="0" t="str">
        <f aca="false">IF($B22="","",IF(Challenges!$L$105=1,IF($B22=Challenges!$D$105,Challenges!$K$105,IF(AND(CW22&gt;=Challenges!$K$105,CW22&lt;Challenges!$J$105),CW22+1,CW22)),CW22))</f>
        <v/>
      </c>
      <c r="CY22" s="0" t="str">
        <f aca="false">IF($B22="","",IF(Challenges!$L$106=1,IF($B22=Challenges!$D$106,Challenges!$K$106,IF(AND(CX22&gt;=Challenges!$K$106,CX22&lt;Challenges!$J$106),CX22+1,CX22)),CX22))</f>
        <v/>
      </c>
    </row>
    <row r="23" customFormat="false" ht="15" hidden="false" customHeight="false" outlineLevel="0" collapsed="false">
      <c r="B23" s="0" t="str">
        <f aca="false">IF(Ladder!$C23="","",Ladder!$C23)</f>
        <v/>
      </c>
      <c r="C23" s="0" t="str">
        <f aca="false">IF($B23="","",ROW()-6)</f>
        <v/>
      </c>
      <c r="D23" s="0" t="str">
        <f aca="false">IF($B23="","",IF(Challenges!$L$7=1,IF($B23=Challenges!$D$7,Challenges!$K$7,IF(AND(C23&gt;=Challenges!$K$7,C23&lt;Challenges!$J$7),C23+1,C23)),C23))</f>
        <v/>
      </c>
      <c r="E23" s="0" t="str">
        <f aca="false">IF($B23="","",IF(Challenges!$L$8=1,IF($B23=Challenges!$D$8,Challenges!$K$8,IF(AND(D23&gt;=Challenges!$K$8,D23&lt;Challenges!$J$8),D23+1,D23)),D23))</f>
        <v/>
      </c>
      <c r="F23" s="0" t="str">
        <f aca="false">IF($B23="","",IF(Challenges!$L$9=1,IF($B23=Challenges!$D$9,Challenges!$K$9,IF(AND(E23&gt;=Challenges!$K$9,E23&lt;Challenges!$J$9),E23+1,E23)),E23))</f>
        <v/>
      </c>
      <c r="G23" s="0" t="str">
        <f aca="false">IF($B23="","",IF(Challenges!$L$10=1,IF($B23=Challenges!$D$10,Challenges!$K$10,IF(AND(F23&gt;=Challenges!$K$10,F23&lt;Challenges!$J$10),F23+1,F23)),F23))</f>
        <v/>
      </c>
      <c r="H23" s="0" t="str">
        <f aca="false">IF($B23="","",IF(Challenges!$L$11=1,IF($B23=Challenges!$D$11,Challenges!$K$11,IF(AND(G23&gt;=Challenges!$K$11,G23&lt;Challenges!$J$11),G23+1,G23)),G23))</f>
        <v/>
      </c>
      <c r="I23" s="0" t="str">
        <f aca="false">IF($B23="","",IF(Challenges!$L$12=1,IF($B23=Challenges!$D$12,Challenges!$K$12,IF(AND(H23&gt;=Challenges!$K$12,H23&lt;Challenges!$J$12),H23+1,H23)),H23))</f>
        <v/>
      </c>
      <c r="J23" s="0" t="str">
        <f aca="false">IF($B23="","",IF(Challenges!$L$13=1,IF($B23=Challenges!$D$13,Challenges!$K$13,IF(AND(I23&gt;=Challenges!$K$13,I23&lt;Challenges!$J$13),I23+1,I23)),I23))</f>
        <v/>
      </c>
      <c r="K23" s="0" t="str">
        <f aca="false">IF($B23="","",IF(Challenges!$L$14=1,IF($B23=Challenges!$D$14,Challenges!$K$14,IF(AND(J23&gt;=Challenges!$K$14,J23&lt;Challenges!$J$14),J23+1,J23)),J23))</f>
        <v/>
      </c>
      <c r="L23" s="0" t="str">
        <f aca="false">IF($B23="","",IF(Challenges!$L$15=1,IF($B23=Challenges!$D$15,Challenges!$K$15,IF(AND(K23&gt;=Challenges!$K$15,K23&lt;Challenges!$J$15),K23+1,K23)),K23))</f>
        <v/>
      </c>
      <c r="M23" s="0" t="str">
        <f aca="false">IF($B23="","",IF(Challenges!$L$16=1,IF($B23=Challenges!$D$16,Challenges!$K$16,IF(AND(L23&gt;=Challenges!$K$16,L23&lt;Challenges!$J$16),L23+1,L23)),L23))</f>
        <v/>
      </c>
      <c r="N23" s="0" t="str">
        <f aca="false">IF($B23="","",IF(Challenges!$L$17=1,IF($B23=Challenges!$D$17,Challenges!$K$17,IF(AND(M23&gt;=Challenges!$K$17,M23&lt;Challenges!$J$17),M23+1,M23)),M23))</f>
        <v/>
      </c>
      <c r="O23" s="0" t="str">
        <f aca="false">IF($B23="","",IF(Challenges!$L$18=1,IF($B23=Challenges!$D$18,Challenges!$K$18,IF(AND(N23&gt;=Challenges!$K$18,N23&lt;Challenges!$J$18),N23+1,N23)),N23))</f>
        <v/>
      </c>
      <c r="P23" s="0" t="str">
        <f aca="false">IF($B23="","",IF(Challenges!$L$19=1,IF($B23=Challenges!$D$19,Challenges!$K$19,IF(AND(O23&gt;=Challenges!$K$19,O23&lt;Challenges!$J$19),O23+1,O23)),O23))</f>
        <v/>
      </c>
      <c r="Q23" s="0" t="str">
        <f aca="false">IF($B23="","",IF(Challenges!$L$20=1,IF($B23=Challenges!$D$20,Challenges!$K$20,IF(AND(P23&gt;=Challenges!$K$20,P23&lt;Challenges!$J$20),P23+1,P23)),P23))</f>
        <v/>
      </c>
      <c r="R23" s="0" t="str">
        <f aca="false">IF($B23="","",IF(Challenges!$L$21=1,IF($B23=Challenges!$D$21,Challenges!$K$21,IF(AND(Q23&gt;=Challenges!$K$21,Q23&lt;Challenges!$J$21),Q23+1,Q23)),Q23))</f>
        <v/>
      </c>
      <c r="S23" s="0" t="str">
        <f aca="false">IF($B23="","",IF(Challenges!$L$22=1,IF($B23=Challenges!$D$22,Challenges!$K$22,IF(AND(R23&gt;=Challenges!$K$22,R23&lt;Challenges!$J$22),R23+1,R23)),R23))</f>
        <v/>
      </c>
      <c r="T23" s="0" t="str">
        <f aca="false">IF($B23="","",IF(Challenges!$L$23=1,IF($B23=Challenges!$D$23,Challenges!$K$23,IF(AND(S23&gt;=Challenges!$K$23,S23&lt;Challenges!$J$23),S23+1,S23)),S23))</f>
        <v/>
      </c>
      <c r="U23" s="0" t="str">
        <f aca="false">IF($B23="","",IF(Challenges!$L$24=1,IF($B23=Challenges!$D$24,Challenges!$K$24,IF(AND(T23&gt;=Challenges!$K$24,T23&lt;Challenges!$J$24),T23+1,T23)),T23))</f>
        <v/>
      </c>
      <c r="V23" s="0" t="str">
        <f aca="false">IF($B23="","",IF(Challenges!$L$25=1,IF($B23=Challenges!$D$25,Challenges!$K$25,IF(AND(U23&gt;=Challenges!$K$25,U23&lt;Challenges!$J$25),U23+1,U23)),U23))</f>
        <v/>
      </c>
      <c r="W23" s="0" t="str">
        <f aca="false">IF($B23="","",IF(Challenges!$L$26=1,IF($B23=Challenges!$D$26,Challenges!$K$26,IF(AND(V23&gt;=Challenges!$K$26,V23&lt;Challenges!$J$26),V23+1,V23)),V23))</f>
        <v/>
      </c>
      <c r="X23" s="0" t="str">
        <f aca="false">IF($B23="","",IF(Challenges!$L$27=1,IF($B23=Challenges!$D$27,Challenges!$K$27,IF(AND(W23&gt;=Challenges!$K$27,W23&lt;Challenges!$J$27),W23+1,W23)),W23))</f>
        <v/>
      </c>
      <c r="Y23" s="0" t="str">
        <f aca="false">IF($B23="","",IF(Challenges!$L$28=1,IF($B23=Challenges!$D$28,Challenges!$K$28,IF(AND(X23&gt;=Challenges!$K$28,X23&lt;Challenges!$J$28),X23+1,X23)),X23))</f>
        <v/>
      </c>
      <c r="Z23" s="0" t="str">
        <f aca="false">IF($B23="","",IF(Challenges!$L$29=1,IF($B23=Challenges!$D$29,Challenges!$K$29,IF(AND(Y23&gt;=Challenges!$K$29,Y23&lt;Challenges!$J$29),Y23+1,Y23)),Y23))</f>
        <v/>
      </c>
      <c r="AA23" s="0" t="str">
        <f aca="false">IF($B23="","",IF(Challenges!$L$30=1,IF($B23=Challenges!$D$30,Challenges!$K$30,IF(AND(Z23&gt;=Challenges!$K$30,Z23&lt;Challenges!$J$30),Z23+1,Z23)),Z23))</f>
        <v/>
      </c>
      <c r="AB23" s="0" t="str">
        <f aca="false">IF($B23="","",IF(Challenges!$L$31=1,IF($B23=Challenges!$D$31,Challenges!$K$31,IF(AND(AA23&gt;=Challenges!$K$31,AA23&lt;Challenges!$J$31),AA23+1,AA23)),AA23))</f>
        <v/>
      </c>
      <c r="AC23" s="0" t="str">
        <f aca="false">IF($B23="","",IF(Challenges!$L$32=1,IF($B23=Challenges!$D$32,Challenges!$K$32,IF(AND(AB23&gt;=Challenges!$K$32,AB23&lt;Challenges!$J$32),AB23+1,AB23)),AB23))</f>
        <v/>
      </c>
      <c r="AD23" s="0" t="str">
        <f aca="false">IF($B23="","",IF(Challenges!$L$33=1,IF($B23=Challenges!$D$33,Challenges!$K$33,IF(AND(AC23&gt;=Challenges!$K$33,AC23&lt;Challenges!$J$33),AC23+1,AC23)),AC23))</f>
        <v/>
      </c>
      <c r="AE23" s="0" t="str">
        <f aca="false">IF($B23="","",IF(Challenges!$L$34=1,IF($B23=Challenges!$D$34,Challenges!$K$34,IF(AND(AD23&gt;=Challenges!$K$34,AD23&lt;Challenges!$J$34),AD23+1,AD23)),AD23))</f>
        <v/>
      </c>
      <c r="AF23" s="0" t="str">
        <f aca="false">IF($B23="","",IF(Challenges!$L$35=1,IF($B23=Challenges!$D$35,Challenges!$K$35,IF(AND(AE23&gt;=Challenges!$K$35,AE23&lt;Challenges!$J$35),AE23+1,AE23)),AE23))</f>
        <v/>
      </c>
      <c r="AG23" s="0" t="str">
        <f aca="false">IF($B23="","",IF(Challenges!$L$36=1,IF($B23=Challenges!$D$36,Challenges!$K$36,IF(AND(AF23&gt;=Challenges!$K$36,AF23&lt;Challenges!$J$36),AF23+1,AF23)),AF23))</f>
        <v/>
      </c>
      <c r="AH23" s="0" t="str">
        <f aca="false">IF($B23="","",IF(Challenges!$L$37=1,IF($B23=Challenges!$D$37,Challenges!$K$37,IF(AND(AG23&gt;=Challenges!$K$37,AG23&lt;Challenges!$J$37),AG23+1,AG23)),AG23))</f>
        <v/>
      </c>
      <c r="AI23" s="0" t="str">
        <f aca="false">IF($B23="","",IF(Challenges!$L$38=1,IF($B23=Challenges!$D$38,Challenges!$K$38,IF(AND(AH23&gt;=Challenges!$K$38,AH23&lt;Challenges!$J$38),AH23+1,AH23)),AH23))</f>
        <v/>
      </c>
      <c r="AJ23" s="0" t="str">
        <f aca="false">IF($B23="","",IF(Challenges!$L$39=1,IF($B23=Challenges!$D$39,Challenges!$K$39,IF(AND(AI23&gt;=Challenges!$K$39,AI23&lt;Challenges!$J$39),AI23+1,AI23)),AI23))</f>
        <v/>
      </c>
      <c r="AK23" s="0" t="str">
        <f aca="false">IF($B23="","",IF(Challenges!$L$40=1,IF($B23=Challenges!$D$40,Challenges!$K$40,IF(AND(AJ23&gt;=Challenges!$K$40,AJ23&lt;Challenges!$J$40),AJ23+1,AJ23)),AJ23))</f>
        <v/>
      </c>
      <c r="AL23" s="0" t="str">
        <f aca="false">IF($B23="","",IF(Challenges!$L$41=1,IF($B23=Challenges!$D$41,Challenges!$K$41,IF(AND(AK23&gt;=Challenges!$K$41,AK23&lt;Challenges!$J$41),AK23+1,AK23)),AK23))</f>
        <v/>
      </c>
      <c r="AM23" s="0" t="str">
        <f aca="false">IF($B23="","",IF(Challenges!$L$42=1,IF($B23=Challenges!$D$42,Challenges!$K$42,IF(AND(AL23&gt;=Challenges!$K$42,AL23&lt;Challenges!$J$42),AL23+1,AL23)),AL23))</f>
        <v/>
      </c>
      <c r="AN23" s="0" t="str">
        <f aca="false">IF($B23="","",IF(Challenges!$L$43=1,IF($B23=Challenges!$D$43,Challenges!$K$43,IF(AND(AM23&gt;=Challenges!$K$43,AM23&lt;Challenges!$J$43),AM23+1,AM23)),AM23))</f>
        <v/>
      </c>
      <c r="AO23" s="0" t="str">
        <f aca="false">IF($B23="","",IF(Challenges!$L$44=1,IF($B23=Challenges!$D$44,Challenges!$K$44,IF(AND(AN23&gt;=Challenges!$K$44,AN23&lt;Challenges!$J$44),AN23+1,AN23)),AN23))</f>
        <v/>
      </c>
      <c r="AP23" s="0" t="str">
        <f aca="false">IF($B23="","",IF(Challenges!$L$45=1,IF($B23=Challenges!$D$45,Challenges!$K$45,IF(AND(AO23&gt;=Challenges!$K$45,AO23&lt;Challenges!$J$45),AO23+1,AO23)),AO23))</f>
        <v/>
      </c>
      <c r="AQ23" s="0" t="str">
        <f aca="false">IF($B23="","",IF(Challenges!$L$46=1,IF($B23=Challenges!$D$46,Challenges!$K$46,IF(AND(AP23&gt;=Challenges!$K$46,AP23&lt;Challenges!$J$46),AP23+1,AP23)),AP23))</f>
        <v/>
      </c>
      <c r="AR23" s="0" t="str">
        <f aca="false">IF($B23="","",IF(Challenges!$L$47=1,IF($B23=Challenges!$D$47,Challenges!$K$47,IF(AND(AQ23&gt;=Challenges!$K$47,AQ23&lt;Challenges!$J$47),AQ23+1,AQ23)),AQ23))</f>
        <v/>
      </c>
      <c r="AS23" s="0" t="str">
        <f aca="false">IF($B23="","",IF(Challenges!$L$48=1,IF($B23=Challenges!$D$48,Challenges!$K$48,IF(AND(AR23&gt;=Challenges!$K$48,AR23&lt;Challenges!$J$48),AR23+1,AR23)),AR23))</f>
        <v/>
      </c>
      <c r="AT23" s="0" t="str">
        <f aca="false">IF($B23="","",IF(Challenges!$L$49=1,IF($B23=Challenges!$D$49,Challenges!$K$49,IF(AND(AS23&gt;=Challenges!$K$49,AS23&lt;Challenges!$J$49),AS23+1,AS23)),AS23))</f>
        <v/>
      </c>
      <c r="AU23" s="0" t="str">
        <f aca="false">IF($B23="","",IF(Challenges!$L$50=1,IF($B23=Challenges!$D$50,Challenges!$K$50,IF(AND(AT23&gt;=Challenges!$K$50,AT23&lt;Challenges!$J$50),AT23+1,AT23)),AT23))</f>
        <v/>
      </c>
      <c r="AV23" s="0" t="str">
        <f aca="false">IF($B23="","",IF(Challenges!$L$51=1,IF($B23=Challenges!$D$51,Challenges!$K$51,IF(AND(AU23&gt;=Challenges!$K$51,AU23&lt;Challenges!$J$51),AU23+1,AU23)),AU23))</f>
        <v/>
      </c>
      <c r="AW23" s="0" t="str">
        <f aca="false">IF($B23="","",IF(Challenges!$L$52=1,IF($B23=Challenges!$D$52,Challenges!$K$52,IF(AND(AV23&gt;=Challenges!$K$52,AV23&lt;Challenges!$J$52),AV23+1,AV23)),AV23))</f>
        <v/>
      </c>
      <c r="AX23" s="0" t="str">
        <f aca="false">IF($B23="","",IF(Challenges!$L$53=1,IF($B23=Challenges!$D$53,Challenges!$K$53,IF(AND(AW23&gt;=Challenges!$K$53,AW23&lt;Challenges!$J$53),AW23+1,AW23)),AW23))</f>
        <v/>
      </c>
      <c r="AY23" s="0" t="str">
        <f aca="false">IF($B23="","",IF(Challenges!$L$54=1,IF($B23=Challenges!$D$54,Challenges!$K$54,IF(AND(AX23&gt;=Challenges!$K$54,AX23&lt;Challenges!$J$54),AX23+1,AX23)),AX23))</f>
        <v/>
      </c>
      <c r="AZ23" s="0" t="str">
        <f aca="false">IF($B23="","",IF(Challenges!$L$55=1,IF($B23=Challenges!$D$55,Challenges!$K$55,IF(AND(AY23&gt;=Challenges!$K$55,AY23&lt;Challenges!$J$55),AY23+1,AY23)),AY23))</f>
        <v/>
      </c>
      <c r="BA23" s="0" t="str">
        <f aca="false">IF($B23="","",IF(Challenges!$L$56=1,IF($B23=Challenges!$D$56,Challenges!$K$56,IF(AND(AZ23&gt;=Challenges!$K$56,AZ23&lt;Challenges!$J$56),AZ23+1,AZ23)),AZ23))</f>
        <v/>
      </c>
      <c r="BB23" s="0" t="str">
        <f aca="false">IF($B23="","",IF(Challenges!$L$57=1,IF($B23=Challenges!$D$57,Challenges!$K$57,IF(AND(BA23&gt;=Challenges!$K$57,BA23&lt;Challenges!$J$57),BA23+1,BA23)),BA23))</f>
        <v/>
      </c>
      <c r="BC23" s="0" t="str">
        <f aca="false">IF($B23="","",IF(Challenges!$L$58=1,IF($B23=Challenges!$D$58,Challenges!$K$58,IF(AND(BB23&gt;=Challenges!$K$58,BB23&lt;Challenges!$J$58),BB23+1,BB23)),BB23))</f>
        <v/>
      </c>
      <c r="BD23" s="0" t="str">
        <f aca="false">IF($B23="","",IF(Challenges!$L$59=1,IF($B23=Challenges!$D$59,Challenges!$K$59,IF(AND(BC23&gt;=Challenges!$K$59,BC23&lt;Challenges!$J$59),BC23+1,BC23)),BC23))</f>
        <v/>
      </c>
      <c r="BE23" s="0" t="str">
        <f aca="false">IF($B23="","",IF(Challenges!$L$60=1,IF($B23=Challenges!$D$60,Challenges!$K$60,IF(AND(BD23&gt;=Challenges!$K$60,BD23&lt;Challenges!$J$60),BD23+1,BD23)),BD23))</f>
        <v/>
      </c>
      <c r="BF23" s="0" t="str">
        <f aca="false">IF($B23="","",IF(Challenges!$L$61=1,IF($B23=Challenges!$D$61,Challenges!$K$61,IF(AND(BE23&gt;=Challenges!$K$61,BE23&lt;Challenges!$J$61),BE23+1,BE23)),BE23))</f>
        <v/>
      </c>
      <c r="BG23" s="0" t="str">
        <f aca="false">IF($B23="","",IF(Challenges!$L$62=1,IF($B23=Challenges!$D$62,Challenges!$K$62,IF(AND(BF23&gt;=Challenges!$K$62,BF23&lt;Challenges!$J$62),BF23+1,BF23)),BF23))</f>
        <v/>
      </c>
      <c r="BH23" s="0" t="str">
        <f aca="false">IF($B23="","",IF(Challenges!$L$63=1,IF($B23=Challenges!$D$63,Challenges!$K$63,IF(AND(BG23&gt;=Challenges!$K$63,BG23&lt;Challenges!$J$63),BG23+1,BG23)),BG23))</f>
        <v/>
      </c>
      <c r="BI23" s="0" t="str">
        <f aca="false">IF($B23="","",IF(Challenges!$L$64=1,IF($B23=Challenges!$D$64,Challenges!$K$64,IF(AND(BH23&gt;=Challenges!$K$64,BH23&lt;Challenges!$J$64),BH23+1,BH23)),BH23))</f>
        <v/>
      </c>
      <c r="BJ23" s="0" t="str">
        <f aca="false">IF($B23="","",IF(Challenges!$L$65=1,IF($B23=Challenges!$D$65,Challenges!$K$65,IF(AND(BI23&gt;=Challenges!$K$65,BI23&lt;Challenges!$J$65),BI23+1,BI23)),BI23))</f>
        <v/>
      </c>
      <c r="BK23" s="0" t="str">
        <f aca="false">IF($B23="","",IF(Challenges!$L$66=1,IF($B23=Challenges!$D$66,Challenges!$K$66,IF(AND(BJ23&gt;=Challenges!$K$66,BJ23&lt;Challenges!$J$66),BJ23+1,BJ23)),BJ23))</f>
        <v/>
      </c>
      <c r="BL23" s="0" t="str">
        <f aca="false">IF($B23="","",IF(Challenges!$L$67=1,IF($B23=Challenges!$D$67,Challenges!$K$67,IF(AND(BK23&gt;=Challenges!$K$67,BK23&lt;Challenges!$J$67),BK23+1,BK23)),BK23))</f>
        <v/>
      </c>
      <c r="BM23" s="0" t="str">
        <f aca="false">IF($B23="","",IF(Challenges!$L$68=1,IF($B23=Challenges!$D$68,Challenges!$K$68,IF(AND(BL23&gt;=Challenges!$K$68,BL23&lt;Challenges!$J$68),BL23+1,BL23)),BL23))</f>
        <v/>
      </c>
      <c r="BN23" s="0" t="str">
        <f aca="false">IF($B23="","",IF(Challenges!$L$69=1,IF($B23=Challenges!$D$69,Challenges!$K$69,IF(AND(BM23&gt;=Challenges!$K$69,BM23&lt;Challenges!$J$69),BM23+1,BM23)),BM23))</f>
        <v/>
      </c>
      <c r="BO23" s="0" t="str">
        <f aca="false">IF($B23="","",IF(Challenges!$L$70=1,IF($B23=Challenges!$D$70,Challenges!$K$70,IF(AND(BN23&gt;=Challenges!$K$70,BN23&lt;Challenges!$J$70),BN23+1,BN23)),BN23))</f>
        <v/>
      </c>
      <c r="BP23" s="0" t="str">
        <f aca="false">IF($B23="","",IF(Challenges!$L$71=1,IF($B23=Challenges!$D$71,Challenges!$K$71,IF(AND(BO23&gt;=Challenges!$K$71,BO23&lt;Challenges!$J$71),BO23+1,BO23)),BO23))</f>
        <v/>
      </c>
      <c r="BQ23" s="0" t="str">
        <f aca="false">IF($B23="","",IF(Challenges!$L$72=1,IF($B23=Challenges!$D$72,Challenges!$K$72,IF(AND(BP23&gt;=Challenges!$K$72,BP23&lt;Challenges!$J$72),BP23+1,BP23)),BP23))</f>
        <v/>
      </c>
      <c r="BR23" s="0" t="str">
        <f aca="false">IF($B23="","",IF(Challenges!$L$73=1,IF($B23=Challenges!$D$73,Challenges!$K$73,IF(AND(BQ23&gt;=Challenges!$K$73,BQ23&lt;Challenges!$J$73),BQ23+1,BQ23)),BQ23))</f>
        <v/>
      </c>
      <c r="BS23" s="0" t="str">
        <f aca="false">IF($B23="","",IF(Challenges!$L$74=1,IF($B23=Challenges!$D$74,Challenges!$K$74,IF(AND(BR23&gt;=Challenges!$K$74,BR23&lt;Challenges!$J$74),BR23+1,BR23)),BR23))</f>
        <v/>
      </c>
      <c r="BT23" s="0" t="str">
        <f aca="false">IF($B23="","",IF(Challenges!$L$75=1,IF($B23=Challenges!$D$75,Challenges!$K$75,IF(AND(BS23&gt;=Challenges!$K$75,BS23&lt;Challenges!$J$75),BS23+1,BS23)),BS23))</f>
        <v/>
      </c>
      <c r="BU23" s="0" t="str">
        <f aca="false">IF($B23="","",IF(Challenges!$L$76=1,IF($B23=Challenges!$D$76,Challenges!$K$76,IF(AND(BT23&gt;=Challenges!$K$76,BT23&lt;Challenges!$J$76),BT23+1,BT23)),BT23))</f>
        <v/>
      </c>
      <c r="BV23" s="0" t="str">
        <f aca="false">IF($B23="","",IF(Challenges!$L$77=1,IF($B23=Challenges!$D$77,Challenges!$K$77,IF(AND(BU23&gt;=Challenges!$K$77,BU23&lt;Challenges!$J$77),BU23+1,BU23)),BU23))</f>
        <v/>
      </c>
      <c r="BW23" s="0" t="str">
        <f aca="false">IF($B23="","",IF(Challenges!$L$78=1,IF($B23=Challenges!$D$78,Challenges!$K$78,IF(AND(BV23&gt;=Challenges!$K$78,BV23&lt;Challenges!$J$78),BV23+1,BV23)),BV23))</f>
        <v/>
      </c>
      <c r="BX23" s="0" t="str">
        <f aca="false">IF($B23="","",IF(Challenges!$L$79=1,IF($B23=Challenges!$D$79,Challenges!$K$79,IF(AND(BW23&gt;=Challenges!$K$79,BW23&lt;Challenges!$J$79),BW23+1,BW23)),BW23))</f>
        <v/>
      </c>
      <c r="BY23" s="0" t="str">
        <f aca="false">IF($B23="","",IF(Challenges!$L$80=1,IF($B23=Challenges!$D$80,Challenges!$K$80,IF(AND(BX23&gt;=Challenges!$K$80,BX23&lt;Challenges!$J$80),BX23+1,BX23)),BX23))</f>
        <v/>
      </c>
      <c r="BZ23" s="0" t="str">
        <f aca="false">IF($B23="","",IF(Challenges!$L$81=1,IF($B23=Challenges!$D$81,Challenges!$K$81,IF(AND(BY23&gt;=Challenges!$K$81,BY23&lt;Challenges!$J$81),BY23+1,BY23)),BY23))</f>
        <v/>
      </c>
      <c r="CA23" s="0" t="str">
        <f aca="false">IF($B23="","",IF(Challenges!$L$82=1,IF($B23=Challenges!$D$82,Challenges!$K$82,IF(AND(BZ23&gt;=Challenges!$K$82,BZ23&lt;Challenges!$J$82),BZ23+1,BZ23)),BZ23))</f>
        <v/>
      </c>
      <c r="CB23" s="0" t="str">
        <f aca="false">IF($B23="","",IF(Challenges!$L$83=1,IF($B23=Challenges!$D$83,Challenges!$K$83,IF(AND(CA23&gt;=Challenges!$K$83,CA23&lt;Challenges!$J$83),CA23+1,CA23)),CA23))</f>
        <v/>
      </c>
      <c r="CC23" s="0" t="str">
        <f aca="false">IF($B23="","",IF(Challenges!$L$84=1,IF($B23=Challenges!$D$84,Challenges!$K$84,IF(AND(CB23&gt;=Challenges!$K$84,CB23&lt;Challenges!$J$84),CB23+1,CB23)),CB23))</f>
        <v/>
      </c>
      <c r="CD23" s="0" t="str">
        <f aca="false">IF($B23="","",IF(Challenges!$L$85=1,IF($B23=Challenges!$D$85,Challenges!$K$85,IF(AND(CC23&gt;=Challenges!$K$85,CC23&lt;Challenges!$J$85),CC23+1,CC23)),CC23))</f>
        <v/>
      </c>
      <c r="CE23" s="0" t="str">
        <f aca="false">IF($B23="","",IF(Challenges!$L$86=1,IF($B23=Challenges!$D$86,Challenges!$K$86,IF(AND(CD23&gt;=Challenges!$K$86,CD23&lt;Challenges!$J$86),CD23+1,CD23)),CD23))</f>
        <v/>
      </c>
      <c r="CF23" s="0" t="str">
        <f aca="false">IF($B23="","",IF(Challenges!$L$87=1,IF($B23=Challenges!$D$87,Challenges!$K$87,IF(AND(CE23&gt;=Challenges!$K$87,CE23&lt;Challenges!$J$87),CE23+1,CE23)),CE23))</f>
        <v/>
      </c>
      <c r="CG23" s="0" t="str">
        <f aca="false">IF($B23="","",IF(Challenges!$L$88=1,IF($B23=Challenges!$D$88,Challenges!$K$88,IF(AND(CF23&gt;=Challenges!$K$88,CF23&lt;Challenges!$J$88),CF23+1,CF23)),CF23))</f>
        <v/>
      </c>
      <c r="CH23" s="0" t="str">
        <f aca="false">IF($B23="","",IF(Challenges!$L$89=1,IF($B23=Challenges!$D$89,Challenges!$K$89,IF(AND(CG23&gt;=Challenges!$K$89,CG23&lt;Challenges!$J$89),CG23+1,CG23)),CG23))</f>
        <v/>
      </c>
      <c r="CI23" s="0" t="str">
        <f aca="false">IF($B23="","",IF(Challenges!$L$90=1,IF($B23=Challenges!$D$90,Challenges!$K$90,IF(AND(CH23&gt;=Challenges!$K$90,CH23&lt;Challenges!$J$90),CH23+1,CH23)),CH23))</f>
        <v/>
      </c>
      <c r="CJ23" s="0" t="str">
        <f aca="false">IF($B23="","",IF(Challenges!$L$91=1,IF($B23=Challenges!$D$91,Challenges!$K$91,IF(AND(CI23&gt;=Challenges!$K$91,CI23&lt;Challenges!$J$91),CI23+1,CI23)),CI23))</f>
        <v/>
      </c>
      <c r="CK23" s="0" t="str">
        <f aca="false">IF($B23="","",IF(Challenges!$L$92=1,IF($B23=Challenges!$D$92,Challenges!$K$92,IF(AND(CJ23&gt;=Challenges!$K$92,CJ23&lt;Challenges!$J$92),CJ23+1,CJ23)),CJ23))</f>
        <v/>
      </c>
      <c r="CL23" s="0" t="str">
        <f aca="false">IF($B23="","",IF(Challenges!$L$93=1,IF($B23=Challenges!$D$93,Challenges!$K$93,IF(AND(CK23&gt;=Challenges!$K$93,CK23&lt;Challenges!$J$93),CK23+1,CK23)),CK23))</f>
        <v/>
      </c>
      <c r="CM23" s="0" t="str">
        <f aca="false">IF($B23="","",IF(Challenges!$L$94=1,IF($B23=Challenges!$D$94,Challenges!$K$94,IF(AND(CL23&gt;=Challenges!$K$94,CL23&lt;Challenges!$J$94),CL23+1,CL23)),CL23))</f>
        <v/>
      </c>
      <c r="CN23" s="0" t="str">
        <f aca="false">IF($B23="","",IF(Challenges!$L$95=1,IF($B23=Challenges!$D$95,Challenges!$K$95,IF(AND(CM23&gt;=Challenges!$K$95,CM23&lt;Challenges!$J$95),CM23+1,CM23)),CM23))</f>
        <v/>
      </c>
      <c r="CO23" s="0" t="str">
        <f aca="false">IF($B23="","",IF(Challenges!$L$96=1,IF($B23=Challenges!$D$96,Challenges!$K$96,IF(AND(CN23&gt;=Challenges!$K$96,CN23&lt;Challenges!$J$96),CN23+1,CN23)),CN23))</f>
        <v/>
      </c>
      <c r="CP23" s="0" t="str">
        <f aca="false">IF($B23="","",IF(Challenges!$L$97=1,IF($B23=Challenges!$D$97,Challenges!$K$97,IF(AND(CO23&gt;=Challenges!$K$97,CO23&lt;Challenges!$J$97),CO23+1,CO23)),CO23))</f>
        <v/>
      </c>
      <c r="CQ23" s="0" t="str">
        <f aca="false">IF($B23="","",IF(Challenges!$L$98=1,IF($B23=Challenges!$D$98,Challenges!$K$98,IF(AND(CP23&gt;=Challenges!$K$98,CP23&lt;Challenges!$J$98),CP23+1,CP23)),CP23))</f>
        <v/>
      </c>
      <c r="CR23" s="0" t="str">
        <f aca="false">IF($B23="","",IF(Challenges!$L$99=1,IF($B23=Challenges!$D$99,Challenges!$K$99,IF(AND(CQ23&gt;=Challenges!$K$99,CQ23&lt;Challenges!$J$99),CQ23+1,CQ23)),CQ23))</f>
        <v/>
      </c>
      <c r="CS23" s="0" t="str">
        <f aca="false">IF($B23="","",IF(Challenges!$L$100=1,IF($B23=Challenges!$D$100,Challenges!$K$100,IF(AND(CR23&gt;=Challenges!$K$100,CR23&lt;Challenges!$J$100),CR23+1,CR23)),CR23))</f>
        <v/>
      </c>
      <c r="CT23" s="0" t="str">
        <f aca="false">IF($B23="","",IF(Challenges!$L$101=1,IF($B23=Challenges!$D$101,Challenges!$K$101,IF(AND(CS23&gt;=Challenges!$K$101,CS23&lt;Challenges!$J$101),CS23+1,CS23)),CS23))</f>
        <v/>
      </c>
      <c r="CU23" s="0" t="str">
        <f aca="false">IF($B23="","",IF(Challenges!$L$102=1,IF($B23=Challenges!$D$102,Challenges!$K$102,IF(AND(CT23&gt;=Challenges!$K$102,CT23&lt;Challenges!$J$102),CT23+1,CT23)),CT23))</f>
        <v/>
      </c>
      <c r="CV23" s="0" t="str">
        <f aca="false">IF($B23="","",IF(Challenges!$L$103=1,IF($B23=Challenges!$D$103,Challenges!$K$103,IF(AND(CU23&gt;=Challenges!$K$103,CU23&lt;Challenges!$J$103),CU23+1,CU23)),CU23))</f>
        <v/>
      </c>
      <c r="CW23" s="0" t="str">
        <f aca="false">IF($B23="","",IF(Challenges!$L$104=1,IF($B23=Challenges!$D$104,Challenges!$K$104,IF(AND(CV23&gt;=Challenges!$K$104,CV23&lt;Challenges!$J$104),CV23+1,CV23)),CV23))</f>
        <v/>
      </c>
      <c r="CX23" s="0" t="str">
        <f aca="false">IF($B23="","",IF(Challenges!$L$105=1,IF($B23=Challenges!$D$105,Challenges!$K$105,IF(AND(CW23&gt;=Challenges!$K$105,CW23&lt;Challenges!$J$105),CW23+1,CW23)),CW23))</f>
        <v/>
      </c>
      <c r="CY23" s="0" t="str">
        <f aca="false">IF($B23="","",IF(Challenges!$L$106=1,IF($B23=Challenges!$D$106,Challenges!$K$106,IF(AND(CX23&gt;=Challenges!$K$106,CX23&lt;Challenges!$J$106),CX23+1,CX23)),CX23))</f>
        <v/>
      </c>
    </row>
    <row r="24" customFormat="false" ht="15" hidden="false" customHeight="false" outlineLevel="0" collapsed="false">
      <c r="B24" s="0" t="str">
        <f aca="false">IF(Ladder!$C24="","",Ladder!$C24)</f>
        <v/>
      </c>
      <c r="C24" s="0" t="str">
        <f aca="false">IF($B24="","",ROW()-6)</f>
        <v/>
      </c>
      <c r="D24" s="0" t="str">
        <f aca="false">IF($B24="","",IF(Challenges!$L$7=1,IF($B24=Challenges!$D$7,Challenges!$K$7,IF(AND(C24&gt;=Challenges!$K$7,C24&lt;Challenges!$J$7),C24+1,C24)),C24))</f>
        <v/>
      </c>
      <c r="E24" s="0" t="str">
        <f aca="false">IF($B24="","",IF(Challenges!$L$8=1,IF($B24=Challenges!$D$8,Challenges!$K$8,IF(AND(D24&gt;=Challenges!$K$8,D24&lt;Challenges!$J$8),D24+1,D24)),D24))</f>
        <v/>
      </c>
      <c r="F24" s="0" t="str">
        <f aca="false">IF($B24="","",IF(Challenges!$L$9=1,IF($B24=Challenges!$D$9,Challenges!$K$9,IF(AND(E24&gt;=Challenges!$K$9,E24&lt;Challenges!$J$9),E24+1,E24)),E24))</f>
        <v/>
      </c>
      <c r="G24" s="0" t="str">
        <f aca="false">IF($B24="","",IF(Challenges!$L$10=1,IF($B24=Challenges!$D$10,Challenges!$K$10,IF(AND(F24&gt;=Challenges!$K$10,F24&lt;Challenges!$J$10),F24+1,F24)),F24))</f>
        <v/>
      </c>
      <c r="H24" s="0" t="str">
        <f aca="false">IF($B24="","",IF(Challenges!$L$11=1,IF($B24=Challenges!$D$11,Challenges!$K$11,IF(AND(G24&gt;=Challenges!$K$11,G24&lt;Challenges!$J$11),G24+1,G24)),G24))</f>
        <v/>
      </c>
      <c r="I24" s="0" t="str">
        <f aca="false">IF($B24="","",IF(Challenges!$L$12=1,IF($B24=Challenges!$D$12,Challenges!$K$12,IF(AND(H24&gt;=Challenges!$K$12,H24&lt;Challenges!$J$12),H24+1,H24)),H24))</f>
        <v/>
      </c>
      <c r="J24" s="0" t="str">
        <f aca="false">IF($B24="","",IF(Challenges!$L$13=1,IF($B24=Challenges!$D$13,Challenges!$K$13,IF(AND(I24&gt;=Challenges!$K$13,I24&lt;Challenges!$J$13),I24+1,I24)),I24))</f>
        <v/>
      </c>
      <c r="K24" s="0" t="str">
        <f aca="false">IF($B24="","",IF(Challenges!$L$14=1,IF($B24=Challenges!$D$14,Challenges!$K$14,IF(AND(J24&gt;=Challenges!$K$14,J24&lt;Challenges!$J$14),J24+1,J24)),J24))</f>
        <v/>
      </c>
      <c r="L24" s="0" t="str">
        <f aca="false">IF($B24="","",IF(Challenges!$L$15=1,IF($B24=Challenges!$D$15,Challenges!$K$15,IF(AND(K24&gt;=Challenges!$K$15,K24&lt;Challenges!$J$15),K24+1,K24)),K24))</f>
        <v/>
      </c>
      <c r="M24" s="0" t="str">
        <f aca="false">IF($B24="","",IF(Challenges!$L$16=1,IF($B24=Challenges!$D$16,Challenges!$K$16,IF(AND(L24&gt;=Challenges!$K$16,L24&lt;Challenges!$J$16),L24+1,L24)),L24))</f>
        <v/>
      </c>
      <c r="N24" s="0" t="str">
        <f aca="false">IF($B24="","",IF(Challenges!$L$17=1,IF($B24=Challenges!$D$17,Challenges!$K$17,IF(AND(M24&gt;=Challenges!$K$17,M24&lt;Challenges!$J$17),M24+1,M24)),M24))</f>
        <v/>
      </c>
      <c r="O24" s="0" t="str">
        <f aca="false">IF($B24="","",IF(Challenges!$L$18=1,IF($B24=Challenges!$D$18,Challenges!$K$18,IF(AND(N24&gt;=Challenges!$K$18,N24&lt;Challenges!$J$18),N24+1,N24)),N24))</f>
        <v/>
      </c>
      <c r="P24" s="0" t="str">
        <f aca="false">IF($B24="","",IF(Challenges!$L$19=1,IF($B24=Challenges!$D$19,Challenges!$K$19,IF(AND(O24&gt;=Challenges!$K$19,O24&lt;Challenges!$J$19),O24+1,O24)),O24))</f>
        <v/>
      </c>
      <c r="Q24" s="0" t="str">
        <f aca="false">IF($B24="","",IF(Challenges!$L$20=1,IF($B24=Challenges!$D$20,Challenges!$K$20,IF(AND(P24&gt;=Challenges!$K$20,P24&lt;Challenges!$J$20),P24+1,P24)),P24))</f>
        <v/>
      </c>
      <c r="R24" s="0" t="str">
        <f aca="false">IF($B24="","",IF(Challenges!$L$21=1,IF($B24=Challenges!$D$21,Challenges!$K$21,IF(AND(Q24&gt;=Challenges!$K$21,Q24&lt;Challenges!$J$21),Q24+1,Q24)),Q24))</f>
        <v/>
      </c>
      <c r="S24" s="0" t="str">
        <f aca="false">IF($B24="","",IF(Challenges!$L$22=1,IF($B24=Challenges!$D$22,Challenges!$K$22,IF(AND(R24&gt;=Challenges!$K$22,R24&lt;Challenges!$J$22),R24+1,R24)),R24))</f>
        <v/>
      </c>
      <c r="T24" s="0" t="str">
        <f aca="false">IF($B24="","",IF(Challenges!$L$23=1,IF($B24=Challenges!$D$23,Challenges!$K$23,IF(AND(S24&gt;=Challenges!$K$23,S24&lt;Challenges!$J$23),S24+1,S24)),S24))</f>
        <v/>
      </c>
      <c r="U24" s="0" t="str">
        <f aca="false">IF($B24="","",IF(Challenges!$L$24=1,IF($B24=Challenges!$D$24,Challenges!$K$24,IF(AND(T24&gt;=Challenges!$K$24,T24&lt;Challenges!$J$24),T24+1,T24)),T24))</f>
        <v/>
      </c>
      <c r="V24" s="0" t="str">
        <f aca="false">IF($B24="","",IF(Challenges!$L$25=1,IF($B24=Challenges!$D$25,Challenges!$K$25,IF(AND(U24&gt;=Challenges!$K$25,U24&lt;Challenges!$J$25),U24+1,U24)),U24))</f>
        <v/>
      </c>
      <c r="W24" s="0" t="str">
        <f aca="false">IF($B24="","",IF(Challenges!$L$26=1,IF($B24=Challenges!$D$26,Challenges!$K$26,IF(AND(V24&gt;=Challenges!$K$26,V24&lt;Challenges!$J$26),V24+1,V24)),V24))</f>
        <v/>
      </c>
      <c r="X24" s="0" t="str">
        <f aca="false">IF($B24="","",IF(Challenges!$L$27=1,IF($B24=Challenges!$D$27,Challenges!$K$27,IF(AND(W24&gt;=Challenges!$K$27,W24&lt;Challenges!$J$27),W24+1,W24)),W24))</f>
        <v/>
      </c>
      <c r="Y24" s="0" t="str">
        <f aca="false">IF($B24="","",IF(Challenges!$L$28=1,IF($B24=Challenges!$D$28,Challenges!$K$28,IF(AND(X24&gt;=Challenges!$K$28,X24&lt;Challenges!$J$28),X24+1,X24)),X24))</f>
        <v/>
      </c>
      <c r="Z24" s="0" t="str">
        <f aca="false">IF($B24="","",IF(Challenges!$L$29=1,IF($B24=Challenges!$D$29,Challenges!$K$29,IF(AND(Y24&gt;=Challenges!$K$29,Y24&lt;Challenges!$J$29),Y24+1,Y24)),Y24))</f>
        <v/>
      </c>
      <c r="AA24" s="0" t="str">
        <f aca="false">IF($B24="","",IF(Challenges!$L$30=1,IF($B24=Challenges!$D$30,Challenges!$K$30,IF(AND(Z24&gt;=Challenges!$K$30,Z24&lt;Challenges!$J$30),Z24+1,Z24)),Z24))</f>
        <v/>
      </c>
      <c r="AB24" s="0" t="str">
        <f aca="false">IF($B24="","",IF(Challenges!$L$31=1,IF($B24=Challenges!$D$31,Challenges!$K$31,IF(AND(AA24&gt;=Challenges!$K$31,AA24&lt;Challenges!$J$31),AA24+1,AA24)),AA24))</f>
        <v/>
      </c>
      <c r="AC24" s="0" t="str">
        <f aca="false">IF($B24="","",IF(Challenges!$L$32=1,IF($B24=Challenges!$D$32,Challenges!$K$32,IF(AND(AB24&gt;=Challenges!$K$32,AB24&lt;Challenges!$J$32),AB24+1,AB24)),AB24))</f>
        <v/>
      </c>
      <c r="AD24" s="0" t="str">
        <f aca="false">IF($B24="","",IF(Challenges!$L$33=1,IF($B24=Challenges!$D$33,Challenges!$K$33,IF(AND(AC24&gt;=Challenges!$K$33,AC24&lt;Challenges!$J$33),AC24+1,AC24)),AC24))</f>
        <v/>
      </c>
      <c r="AE24" s="0" t="str">
        <f aca="false">IF($B24="","",IF(Challenges!$L$34=1,IF($B24=Challenges!$D$34,Challenges!$K$34,IF(AND(AD24&gt;=Challenges!$K$34,AD24&lt;Challenges!$J$34),AD24+1,AD24)),AD24))</f>
        <v/>
      </c>
      <c r="AF24" s="0" t="str">
        <f aca="false">IF($B24="","",IF(Challenges!$L$35=1,IF($B24=Challenges!$D$35,Challenges!$K$35,IF(AND(AE24&gt;=Challenges!$K$35,AE24&lt;Challenges!$J$35),AE24+1,AE24)),AE24))</f>
        <v/>
      </c>
      <c r="AG24" s="0" t="str">
        <f aca="false">IF($B24="","",IF(Challenges!$L$36=1,IF($B24=Challenges!$D$36,Challenges!$K$36,IF(AND(AF24&gt;=Challenges!$K$36,AF24&lt;Challenges!$J$36),AF24+1,AF24)),AF24))</f>
        <v/>
      </c>
      <c r="AH24" s="0" t="str">
        <f aca="false">IF($B24="","",IF(Challenges!$L$37=1,IF($B24=Challenges!$D$37,Challenges!$K$37,IF(AND(AG24&gt;=Challenges!$K$37,AG24&lt;Challenges!$J$37),AG24+1,AG24)),AG24))</f>
        <v/>
      </c>
      <c r="AI24" s="0" t="str">
        <f aca="false">IF($B24="","",IF(Challenges!$L$38=1,IF($B24=Challenges!$D$38,Challenges!$K$38,IF(AND(AH24&gt;=Challenges!$K$38,AH24&lt;Challenges!$J$38),AH24+1,AH24)),AH24))</f>
        <v/>
      </c>
      <c r="AJ24" s="0" t="str">
        <f aca="false">IF($B24="","",IF(Challenges!$L$39=1,IF($B24=Challenges!$D$39,Challenges!$K$39,IF(AND(AI24&gt;=Challenges!$K$39,AI24&lt;Challenges!$J$39),AI24+1,AI24)),AI24))</f>
        <v/>
      </c>
      <c r="AK24" s="0" t="str">
        <f aca="false">IF($B24="","",IF(Challenges!$L$40=1,IF($B24=Challenges!$D$40,Challenges!$K$40,IF(AND(AJ24&gt;=Challenges!$K$40,AJ24&lt;Challenges!$J$40),AJ24+1,AJ24)),AJ24))</f>
        <v/>
      </c>
      <c r="AL24" s="0" t="str">
        <f aca="false">IF($B24="","",IF(Challenges!$L$41=1,IF($B24=Challenges!$D$41,Challenges!$K$41,IF(AND(AK24&gt;=Challenges!$K$41,AK24&lt;Challenges!$J$41),AK24+1,AK24)),AK24))</f>
        <v/>
      </c>
      <c r="AM24" s="0" t="str">
        <f aca="false">IF($B24="","",IF(Challenges!$L$42=1,IF($B24=Challenges!$D$42,Challenges!$K$42,IF(AND(AL24&gt;=Challenges!$K$42,AL24&lt;Challenges!$J$42),AL24+1,AL24)),AL24))</f>
        <v/>
      </c>
      <c r="AN24" s="0" t="str">
        <f aca="false">IF($B24="","",IF(Challenges!$L$43=1,IF($B24=Challenges!$D$43,Challenges!$K$43,IF(AND(AM24&gt;=Challenges!$K$43,AM24&lt;Challenges!$J$43),AM24+1,AM24)),AM24))</f>
        <v/>
      </c>
      <c r="AO24" s="0" t="str">
        <f aca="false">IF($B24="","",IF(Challenges!$L$44=1,IF($B24=Challenges!$D$44,Challenges!$K$44,IF(AND(AN24&gt;=Challenges!$K$44,AN24&lt;Challenges!$J$44),AN24+1,AN24)),AN24))</f>
        <v/>
      </c>
      <c r="AP24" s="0" t="str">
        <f aca="false">IF($B24="","",IF(Challenges!$L$45=1,IF($B24=Challenges!$D$45,Challenges!$K$45,IF(AND(AO24&gt;=Challenges!$K$45,AO24&lt;Challenges!$J$45),AO24+1,AO24)),AO24))</f>
        <v/>
      </c>
      <c r="AQ24" s="0" t="str">
        <f aca="false">IF($B24="","",IF(Challenges!$L$46=1,IF($B24=Challenges!$D$46,Challenges!$K$46,IF(AND(AP24&gt;=Challenges!$K$46,AP24&lt;Challenges!$J$46),AP24+1,AP24)),AP24))</f>
        <v/>
      </c>
      <c r="AR24" s="0" t="str">
        <f aca="false">IF($B24="","",IF(Challenges!$L$47=1,IF($B24=Challenges!$D$47,Challenges!$K$47,IF(AND(AQ24&gt;=Challenges!$K$47,AQ24&lt;Challenges!$J$47),AQ24+1,AQ24)),AQ24))</f>
        <v/>
      </c>
      <c r="AS24" s="0" t="str">
        <f aca="false">IF($B24="","",IF(Challenges!$L$48=1,IF($B24=Challenges!$D$48,Challenges!$K$48,IF(AND(AR24&gt;=Challenges!$K$48,AR24&lt;Challenges!$J$48),AR24+1,AR24)),AR24))</f>
        <v/>
      </c>
      <c r="AT24" s="0" t="str">
        <f aca="false">IF($B24="","",IF(Challenges!$L$49=1,IF($B24=Challenges!$D$49,Challenges!$K$49,IF(AND(AS24&gt;=Challenges!$K$49,AS24&lt;Challenges!$J$49),AS24+1,AS24)),AS24))</f>
        <v/>
      </c>
      <c r="AU24" s="0" t="str">
        <f aca="false">IF($B24="","",IF(Challenges!$L$50=1,IF($B24=Challenges!$D$50,Challenges!$K$50,IF(AND(AT24&gt;=Challenges!$K$50,AT24&lt;Challenges!$J$50),AT24+1,AT24)),AT24))</f>
        <v/>
      </c>
      <c r="AV24" s="0" t="str">
        <f aca="false">IF($B24="","",IF(Challenges!$L$51=1,IF($B24=Challenges!$D$51,Challenges!$K$51,IF(AND(AU24&gt;=Challenges!$K$51,AU24&lt;Challenges!$J$51),AU24+1,AU24)),AU24))</f>
        <v/>
      </c>
      <c r="AW24" s="0" t="str">
        <f aca="false">IF($B24="","",IF(Challenges!$L$52=1,IF($B24=Challenges!$D$52,Challenges!$K$52,IF(AND(AV24&gt;=Challenges!$K$52,AV24&lt;Challenges!$J$52),AV24+1,AV24)),AV24))</f>
        <v/>
      </c>
      <c r="AX24" s="0" t="str">
        <f aca="false">IF($B24="","",IF(Challenges!$L$53=1,IF($B24=Challenges!$D$53,Challenges!$K$53,IF(AND(AW24&gt;=Challenges!$K$53,AW24&lt;Challenges!$J$53),AW24+1,AW24)),AW24))</f>
        <v/>
      </c>
      <c r="AY24" s="0" t="str">
        <f aca="false">IF($B24="","",IF(Challenges!$L$54=1,IF($B24=Challenges!$D$54,Challenges!$K$54,IF(AND(AX24&gt;=Challenges!$K$54,AX24&lt;Challenges!$J$54),AX24+1,AX24)),AX24))</f>
        <v/>
      </c>
      <c r="AZ24" s="0" t="str">
        <f aca="false">IF($B24="","",IF(Challenges!$L$55=1,IF($B24=Challenges!$D$55,Challenges!$K$55,IF(AND(AY24&gt;=Challenges!$K$55,AY24&lt;Challenges!$J$55),AY24+1,AY24)),AY24))</f>
        <v/>
      </c>
      <c r="BA24" s="0" t="str">
        <f aca="false">IF($B24="","",IF(Challenges!$L$56=1,IF($B24=Challenges!$D$56,Challenges!$K$56,IF(AND(AZ24&gt;=Challenges!$K$56,AZ24&lt;Challenges!$J$56),AZ24+1,AZ24)),AZ24))</f>
        <v/>
      </c>
      <c r="BB24" s="0" t="str">
        <f aca="false">IF($B24="","",IF(Challenges!$L$57=1,IF($B24=Challenges!$D$57,Challenges!$K$57,IF(AND(BA24&gt;=Challenges!$K$57,BA24&lt;Challenges!$J$57),BA24+1,BA24)),BA24))</f>
        <v/>
      </c>
      <c r="BC24" s="0" t="str">
        <f aca="false">IF($B24="","",IF(Challenges!$L$58=1,IF($B24=Challenges!$D$58,Challenges!$K$58,IF(AND(BB24&gt;=Challenges!$K$58,BB24&lt;Challenges!$J$58),BB24+1,BB24)),BB24))</f>
        <v/>
      </c>
      <c r="BD24" s="0" t="str">
        <f aca="false">IF($B24="","",IF(Challenges!$L$59=1,IF($B24=Challenges!$D$59,Challenges!$K$59,IF(AND(BC24&gt;=Challenges!$K$59,BC24&lt;Challenges!$J$59),BC24+1,BC24)),BC24))</f>
        <v/>
      </c>
      <c r="BE24" s="0" t="str">
        <f aca="false">IF($B24="","",IF(Challenges!$L$60=1,IF($B24=Challenges!$D$60,Challenges!$K$60,IF(AND(BD24&gt;=Challenges!$K$60,BD24&lt;Challenges!$J$60),BD24+1,BD24)),BD24))</f>
        <v/>
      </c>
      <c r="BF24" s="0" t="str">
        <f aca="false">IF($B24="","",IF(Challenges!$L$61=1,IF($B24=Challenges!$D$61,Challenges!$K$61,IF(AND(BE24&gt;=Challenges!$K$61,BE24&lt;Challenges!$J$61),BE24+1,BE24)),BE24))</f>
        <v/>
      </c>
      <c r="BG24" s="0" t="str">
        <f aca="false">IF($B24="","",IF(Challenges!$L$62=1,IF($B24=Challenges!$D$62,Challenges!$K$62,IF(AND(BF24&gt;=Challenges!$K$62,BF24&lt;Challenges!$J$62),BF24+1,BF24)),BF24))</f>
        <v/>
      </c>
      <c r="BH24" s="0" t="str">
        <f aca="false">IF($B24="","",IF(Challenges!$L$63=1,IF($B24=Challenges!$D$63,Challenges!$K$63,IF(AND(BG24&gt;=Challenges!$K$63,BG24&lt;Challenges!$J$63),BG24+1,BG24)),BG24))</f>
        <v/>
      </c>
      <c r="BI24" s="0" t="str">
        <f aca="false">IF($B24="","",IF(Challenges!$L$64=1,IF($B24=Challenges!$D$64,Challenges!$K$64,IF(AND(BH24&gt;=Challenges!$K$64,BH24&lt;Challenges!$J$64),BH24+1,BH24)),BH24))</f>
        <v/>
      </c>
      <c r="BJ24" s="0" t="str">
        <f aca="false">IF($B24="","",IF(Challenges!$L$65=1,IF($B24=Challenges!$D$65,Challenges!$K$65,IF(AND(BI24&gt;=Challenges!$K$65,BI24&lt;Challenges!$J$65),BI24+1,BI24)),BI24))</f>
        <v/>
      </c>
      <c r="BK24" s="0" t="str">
        <f aca="false">IF($B24="","",IF(Challenges!$L$66=1,IF($B24=Challenges!$D$66,Challenges!$K$66,IF(AND(BJ24&gt;=Challenges!$K$66,BJ24&lt;Challenges!$J$66),BJ24+1,BJ24)),BJ24))</f>
        <v/>
      </c>
      <c r="BL24" s="0" t="str">
        <f aca="false">IF($B24="","",IF(Challenges!$L$67=1,IF($B24=Challenges!$D$67,Challenges!$K$67,IF(AND(BK24&gt;=Challenges!$K$67,BK24&lt;Challenges!$J$67),BK24+1,BK24)),BK24))</f>
        <v/>
      </c>
      <c r="BM24" s="0" t="str">
        <f aca="false">IF($B24="","",IF(Challenges!$L$68=1,IF($B24=Challenges!$D$68,Challenges!$K$68,IF(AND(BL24&gt;=Challenges!$K$68,BL24&lt;Challenges!$J$68),BL24+1,BL24)),BL24))</f>
        <v/>
      </c>
      <c r="BN24" s="0" t="str">
        <f aca="false">IF($B24="","",IF(Challenges!$L$69=1,IF($B24=Challenges!$D$69,Challenges!$K$69,IF(AND(BM24&gt;=Challenges!$K$69,BM24&lt;Challenges!$J$69),BM24+1,BM24)),BM24))</f>
        <v/>
      </c>
      <c r="BO24" s="0" t="str">
        <f aca="false">IF($B24="","",IF(Challenges!$L$70=1,IF($B24=Challenges!$D$70,Challenges!$K$70,IF(AND(BN24&gt;=Challenges!$K$70,BN24&lt;Challenges!$J$70),BN24+1,BN24)),BN24))</f>
        <v/>
      </c>
      <c r="BP24" s="0" t="str">
        <f aca="false">IF($B24="","",IF(Challenges!$L$71=1,IF($B24=Challenges!$D$71,Challenges!$K$71,IF(AND(BO24&gt;=Challenges!$K$71,BO24&lt;Challenges!$J$71),BO24+1,BO24)),BO24))</f>
        <v/>
      </c>
      <c r="BQ24" s="0" t="str">
        <f aca="false">IF($B24="","",IF(Challenges!$L$72=1,IF($B24=Challenges!$D$72,Challenges!$K$72,IF(AND(BP24&gt;=Challenges!$K$72,BP24&lt;Challenges!$J$72),BP24+1,BP24)),BP24))</f>
        <v/>
      </c>
      <c r="BR24" s="0" t="str">
        <f aca="false">IF($B24="","",IF(Challenges!$L$73=1,IF($B24=Challenges!$D$73,Challenges!$K$73,IF(AND(BQ24&gt;=Challenges!$K$73,BQ24&lt;Challenges!$J$73),BQ24+1,BQ24)),BQ24))</f>
        <v/>
      </c>
      <c r="BS24" s="0" t="str">
        <f aca="false">IF($B24="","",IF(Challenges!$L$74=1,IF($B24=Challenges!$D$74,Challenges!$K$74,IF(AND(BR24&gt;=Challenges!$K$74,BR24&lt;Challenges!$J$74),BR24+1,BR24)),BR24))</f>
        <v/>
      </c>
      <c r="BT24" s="0" t="str">
        <f aca="false">IF($B24="","",IF(Challenges!$L$75=1,IF($B24=Challenges!$D$75,Challenges!$K$75,IF(AND(BS24&gt;=Challenges!$K$75,BS24&lt;Challenges!$J$75),BS24+1,BS24)),BS24))</f>
        <v/>
      </c>
      <c r="BU24" s="0" t="str">
        <f aca="false">IF($B24="","",IF(Challenges!$L$76=1,IF($B24=Challenges!$D$76,Challenges!$K$76,IF(AND(BT24&gt;=Challenges!$K$76,BT24&lt;Challenges!$J$76),BT24+1,BT24)),BT24))</f>
        <v/>
      </c>
      <c r="BV24" s="0" t="str">
        <f aca="false">IF($B24="","",IF(Challenges!$L$77=1,IF($B24=Challenges!$D$77,Challenges!$K$77,IF(AND(BU24&gt;=Challenges!$K$77,BU24&lt;Challenges!$J$77),BU24+1,BU24)),BU24))</f>
        <v/>
      </c>
      <c r="BW24" s="0" t="str">
        <f aca="false">IF($B24="","",IF(Challenges!$L$78=1,IF($B24=Challenges!$D$78,Challenges!$K$78,IF(AND(BV24&gt;=Challenges!$K$78,BV24&lt;Challenges!$J$78),BV24+1,BV24)),BV24))</f>
        <v/>
      </c>
      <c r="BX24" s="0" t="str">
        <f aca="false">IF($B24="","",IF(Challenges!$L$79=1,IF($B24=Challenges!$D$79,Challenges!$K$79,IF(AND(BW24&gt;=Challenges!$K$79,BW24&lt;Challenges!$J$79),BW24+1,BW24)),BW24))</f>
        <v/>
      </c>
      <c r="BY24" s="0" t="str">
        <f aca="false">IF($B24="","",IF(Challenges!$L$80=1,IF($B24=Challenges!$D$80,Challenges!$K$80,IF(AND(BX24&gt;=Challenges!$K$80,BX24&lt;Challenges!$J$80),BX24+1,BX24)),BX24))</f>
        <v/>
      </c>
      <c r="BZ24" s="0" t="str">
        <f aca="false">IF($B24="","",IF(Challenges!$L$81=1,IF($B24=Challenges!$D$81,Challenges!$K$81,IF(AND(BY24&gt;=Challenges!$K$81,BY24&lt;Challenges!$J$81),BY24+1,BY24)),BY24))</f>
        <v/>
      </c>
      <c r="CA24" s="0" t="str">
        <f aca="false">IF($B24="","",IF(Challenges!$L$82=1,IF($B24=Challenges!$D$82,Challenges!$K$82,IF(AND(BZ24&gt;=Challenges!$K$82,BZ24&lt;Challenges!$J$82),BZ24+1,BZ24)),BZ24))</f>
        <v/>
      </c>
      <c r="CB24" s="0" t="str">
        <f aca="false">IF($B24="","",IF(Challenges!$L$83=1,IF($B24=Challenges!$D$83,Challenges!$K$83,IF(AND(CA24&gt;=Challenges!$K$83,CA24&lt;Challenges!$J$83),CA24+1,CA24)),CA24))</f>
        <v/>
      </c>
      <c r="CC24" s="0" t="str">
        <f aca="false">IF($B24="","",IF(Challenges!$L$84=1,IF($B24=Challenges!$D$84,Challenges!$K$84,IF(AND(CB24&gt;=Challenges!$K$84,CB24&lt;Challenges!$J$84),CB24+1,CB24)),CB24))</f>
        <v/>
      </c>
      <c r="CD24" s="0" t="str">
        <f aca="false">IF($B24="","",IF(Challenges!$L$85=1,IF($B24=Challenges!$D$85,Challenges!$K$85,IF(AND(CC24&gt;=Challenges!$K$85,CC24&lt;Challenges!$J$85),CC24+1,CC24)),CC24))</f>
        <v/>
      </c>
      <c r="CE24" s="0" t="str">
        <f aca="false">IF($B24="","",IF(Challenges!$L$86=1,IF($B24=Challenges!$D$86,Challenges!$K$86,IF(AND(CD24&gt;=Challenges!$K$86,CD24&lt;Challenges!$J$86),CD24+1,CD24)),CD24))</f>
        <v/>
      </c>
      <c r="CF24" s="0" t="str">
        <f aca="false">IF($B24="","",IF(Challenges!$L$87=1,IF($B24=Challenges!$D$87,Challenges!$K$87,IF(AND(CE24&gt;=Challenges!$K$87,CE24&lt;Challenges!$J$87),CE24+1,CE24)),CE24))</f>
        <v/>
      </c>
      <c r="CG24" s="0" t="str">
        <f aca="false">IF($B24="","",IF(Challenges!$L$88=1,IF($B24=Challenges!$D$88,Challenges!$K$88,IF(AND(CF24&gt;=Challenges!$K$88,CF24&lt;Challenges!$J$88),CF24+1,CF24)),CF24))</f>
        <v/>
      </c>
      <c r="CH24" s="0" t="str">
        <f aca="false">IF($B24="","",IF(Challenges!$L$89=1,IF($B24=Challenges!$D$89,Challenges!$K$89,IF(AND(CG24&gt;=Challenges!$K$89,CG24&lt;Challenges!$J$89),CG24+1,CG24)),CG24))</f>
        <v/>
      </c>
      <c r="CI24" s="0" t="str">
        <f aca="false">IF($B24="","",IF(Challenges!$L$90=1,IF($B24=Challenges!$D$90,Challenges!$K$90,IF(AND(CH24&gt;=Challenges!$K$90,CH24&lt;Challenges!$J$90),CH24+1,CH24)),CH24))</f>
        <v/>
      </c>
      <c r="CJ24" s="0" t="str">
        <f aca="false">IF($B24="","",IF(Challenges!$L$91=1,IF($B24=Challenges!$D$91,Challenges!$K$91,IF(AND(CI24&gt;=Challenges!$K$91,CI24&lt;Challenges!$J$91),CI24+1,CI24)),CI24))</f>
        <v/>
      </c>
      <c r="CK24" s="0" t="str">
        <f aca="false">IF($B24="","",IF(Challenges!$L$92=1,IF($B24=Challenges!$D$92,Challenges!$K$92,IF(AND(CJ24&gt;=Challenges!$K$92,CJ24&lt;Challenges!$J$92),CJ24+1,CJ24)),CJ24))</f>
        <v/>
      </c>
      <c r="CL24" s="0" t="str">
        <f aca="false">IF($B24="","",IF(Challenges!$L$93=1,IF($B24=Challenges!$D$93,Challenges!$K$93,IF(AND(CK24&gt;=Challenges!$K$93,CK24&lt;Challenges!$J$93),CK24+1,CK24)),CK24))</f>
        <v/>
      </c>
      <c r="CM24" s="0" t="str">
        <f aca="false">IF($B24="","",IF(Challenges!$L$94=1,IF($B24=Challenges!$D$94,Challenges!$K$94,IF(AND(CL24&gt;=Challenges!$K$94,CL24&lt;Challenges!$J$94),CL24+1,CL24)),CL24))</f>
        <v/>
      </c>
      <c r="CN24" s="0" t="str">
        <f aca="false">IF($B24="","",IF(Challenges!$L$95=1,IF($B24=Challenges!$D$95,Challenges!$K$95,IF(AND(CM24&gt;=Challenges!$K$95,CM24&lt;Challenges!$J$95),CM24+1,CM24)),CM24))</f>
        <v/>
      </c>
      <c r="CO24" s="0" t="str">
        <f aca="false">IF($B24="","",IF(Challenges!$L$96=1,IF($B24=Challenges!$D$96,Challenges!$K$96,IF(AND(CN24&gt;=Challenges!$K$96,CN24&lt;Challenges!$J$96),CN24+1,CN24)),CN24))</f>
        <v/>
      </c>
      <c r="CP24" s="0" t="str">
        <f aca="false">IF($B24="","",IF(Challenges!$L$97=1,IF($B24=Challenges!$D$97,Challenges!$K$97,IF(AND(CO24&gt;=Challenges!$K$97,CO24&lt;Challenges!$J$97),CO24+1,CO24)),CO24))</f>
        <v/>
      </c>
      <c r="CQ24" s="0" t="str">
        <f aca="false">IF($B24="","",IF(Challenges!$L$98=1,IF($B24=Challenges!$D$98,Challenges!$K$98,IF(AND(CP24&gt;=Challenges!$K$98,CP24&lt;Challenges!$J$98),CP24+1,CP24)),CP24))</f>
        <v/>
      </c>
      <c r="CR24" s="0" t="str">
        <f aca="false">IF($B24="","",IF(Challenges!$L$99=1,IF($B24=Challenges!$D$99,Challenges!$K$99,IF(AND(CQ24&gt;=Challenges!$K$99,CQ24&lt;Challenges!$J$99),CQ24+1,CQ24)),CQ24))</f>
        <v/>
      </c>
      <c r="CS24" s="0" t="str">
        <f aca="false">IF($B24="","",IF(Challenges!$L$100=1,IF($B24=Challenges!$D$100,Challenges!$K$100,IF(AND(CR24&gt;=Challenges!$K$100,CR24&lt;Challenges!$J$100),CR24+1,CR24)),CR24))</f>
        <v/>
      </c>
      <c r="CT24" s="0" t="str">
        <f aca="false">IF($B24="","",IF(Challenges!$L$101=1,IF($B24=Challenges!$D$101,Challenges!$K$101,IF(AND(CS24&gt;=Challenges!$K$101,CS24&lt;Challenges!$J$101),CS24+1,CS24)),CS24))</f>
        <v/>
      </c>
      <c r="CU24" s="0" t="str">
        <f aca="false">IF($B24="","",IF(Challenges!$L$102=1,IF($B24=Challenges!$D$102,Challenges!$K$102,IF(AND(CT24&gt;=Challenges!$K$102,CT24&lt;Challenges!$J$102),CT24+1,CT24)),CT24))</f>
        <v/>
      </c>
      <c r="CV24" s="0" t="str">
        <f aca="false">IF($B24="","",IF(Challenges!$L$103=1,IF($B24=Challenges!$D$103,Challenges!$K$103,IF(AND(CU24&gt;=Challenges!$K$103,CU24&lt;Challenges!$J$103),CU24+1,CU24)),CU24))</f>
        <v/>
      </c>
      <c r="CW24" s="0" t="str">
        <f aca="false">IF($B24="","",IF(Challenges!$L$104=1,IF($B24=Challenges!$D$104,Challenges!$K$104,IF(AND(CV24&gt;=Challenges!$K$104,CV24&lt;Challenges!$J$104),CV24+1,CV24)),CV24))</f>
        <v/>
      </c>
      <c r="CX24" s="0" t="str">
        <f aca="false">IF($B24="","",IF(Challenges!$L$105=1,IF($B24=Challenges!$D$105,Challenges!$K$105,IF(AND(CW24&gt;=Challenges!$K$105,CW24&lt;Challenges!$J$105),CW24+1,CW24)),CW24))</f>
        <v/>
      </c>
      <c r="CY24" s="0" t="str">
        <f aca="false">IF($B24="","",IF(Challenges!$L$106=1,IF($B24=Challenges!$D$106,Challenges!$K$106,IF(AND(CX24&gt;=Challenges!$K$106,CX24&lt;Challenges!$J$106),CX24+1,CX24)),CX24))</f>
        <v/>
      </c>
    </row>
    <row r="25" customFormat="false" ht="15" hidden="false" customHeight="false" outlineLevel="0" collapsed="false">
      <c r="B25" s="0" t="str">
        <f aca="false">IF(Ladder!$C25="","",Ladder!$C25)</f>
        <v/>
      </c>
      <c r="C25" s="0" t="str">
        <f aca="false">IF($B25="","",ROW()-6)</f>
        <v/>
      </c>
      <c r="D25" s="0" t="str">
        <f aca="false">IF($B25="","",IF(Challenges!$L$7=1,IF($B25=Challenges!$D$7,Challenges!$K$7,IF(AND(C25&gt;=Challenges!$K$7,C25&lt;Challenges!$J$7),C25+1,C25)),C25))</f>
        <v/>
      </c>
      <c r="E25" s="0" t="str">
        <f aca="false">IF($B25="","",IF(Challenges!$L$8=1,IF($B25=Challenges!$D$8,Challenges!$K$8,IF(AND(D25&gt;=Challenges!$K$8,D25&lt;Challenges!$J$8),D25+1,D25)),D25))</f>
        <v/>
      </c>
      <c r="F25" s="0" t="str">
        <f aca="false">IF($B25="","",IF(Challenges!$L$9=1,IF($B25=Challenges!$D$9,Challenges!$K$9,IF(AND(E25&gt;=Challenges!$K$9,E25&lt;Challenges!$J$9),E25+1,E25)),E25))</f>
        <v/>
      </c>
      <c r="G25" s="0" t="str">
        <f aca="false">IF($B25="","",IF(Challenges!$L$10=1,IF($B25=Challenges!$D$10,Challenges!$K$10,IF(AND(F25&gt;=Challenges!$K$10,F25&lt;Challenges!$J$10),F25+1,F25)),F25))</f>
        <v/>
      </c>
      <c r="H25" s="0" t="str">
        <f aca="false">IF($B25="","",IF(Challenges!$L$11=1,IF($B25=Challenges!$D$11,Challenges!$K$11,IF(AND(G25&gt;=Challenges!$K$11,G25&lt;Challenges!$J$11),G25+1,G25)),G25))</f>
        <v/>
      </c>
      <c r="I25" s="0" t="str">
        <f aca="false">IF($B25="","",IF(Challenges!$L$12=1,IF($B25=Challenges!$D$12,Challenges!$K$12,IF(AND(H25&gt;=Challenges!$K$12,H25&lt;Challenges!$J$12),H25+1,H25)),H25))</f>
        <v/>
      </c>
      <c r="J25" s="0" t="str">
        <f aca="false">IF($B25="","",IF(Challenges!$L$13=1,IF($B25=Challenges!$D$13,Challenges!$K$13,IF(AND(I25&gt;=Challenges!$K$13,I25&lt;Challenges!$J$13),I25+1,I25)),I25))</f>
        <v/>
      </c>
      <c r="K25" s="0" t="str">
        <f aca="false">IF($B25="","",IF(Challenges!$L$14=1,IF($B25=Challenges!$D$14,Challenges!$K$14,IF(AND(J25&gt;=Challenges!$K$14,J25&lt;Challenges!$J$14),J25+1,J25)),J25))</f>
        <v/>
      </c>
      <c r="L25" s="0" t="str">
        <f aca="false">IF($B25="","",IF(Challenges!$L$15=1,IF($B25=Challenges!$D$15,Challenges!$K$15,IF(AND(K25&gt;=Challenges!$K$15,K25&lt;Challenges!$J$15),K25+1,K25)),K25))</f>
        <v/>
      </c>
      <c r="M25" s="0" t="str">
        <f aca="false">IF($B25="","",IF(Challenges!$L$16=1,IF($B25=Challenges!$D$16,Challenges!$K$16,IF(AND(L25&gt;=Challenges!$K$16,L25&lt;Challenges!$J$16),L25+1,L25)),L25))</f>
        <v/>
      </c>
      <c r="N25" s="0" t="str">
        <f aca="false">IF($B25="","",IF(Challenges!$L$17=1,IF($B25=Challenges!$D$17,Challenges!$K$17,IF(AND(M25&gt;=Challenges!$K$17,M25&lt;Challenges!$J$17),M25+1,M25)),M25))</f>
        <v/>
      </c>
      <c r="O25" s="0" t="str">
        <f aca="false">IF($B25="","",IF(Challenges!$L$18=1,IF($B25=Challenges!$D$18,Challenges!$K$18,IF(AND(N25&gt;=Challenges!$K$18,N25&lt;Challenges!$J$18),N25+1,N25)),N25))</f>
        <v/>
      </c>
      <c r="P25" s="0" t="str">
        <f aca="false">IF($B25="","",IF(Challenges!$L$19=1,IF($B25=Challenges!$D$19,Challenges!$K$19,IF(AND(O25&gt;=Challenges!$K$19,O25&lt;Challenges!$J$19),O25+1,O25)),O25))</f>
        <v/>
      </c>
      <c r="Q25" s="0" t="str">
        <f aca="false">IF($B25="","",IF(Challenges!$L$20=1,IF($B25=Challenges!$D$20,Challenges!$K$20,IF(AND(P25&gt;=Challenges!$K$20,P25&lt;Challenges!$J$20),P25+1,P25)),P25))</f>
        <v/>
      </c>
      <c r="R25" s="0" t="str">
        <f aca="false">IF($B25="","",IF(Challenges!$L$21=1,IF($B25=Challenges!$D$21,Challenges!$K$21,IF(AND(Q25&gt;=Challenges!$K$21,Q25&lt;Challenges!$J$21),Q25+1,Q25)),Q25))</f>
        <v/>
      </c>
      <c r="S25" s="0" t="str">
        <f aca="false">IF($B25="","",IF(Challenges!$L$22=1,IF($B25=Challenges!$D$22,Challenges!$K$22,IF(AND(R25&gt;=Challenges!$K$22,R25&lt;Challenges!$J$22),R25+1,R25)),R25))</f>
        <v/>
      </c>
      <c r="T25" s="0" t="str">
        <f aca="false">IF($B25="","",IF(Challenges!$L$23=1,IF($B25=Challenges!$D$23,Challenges!$K$23,IF(AND(S25&gt;=Challenges!$K$23,S25&lt;Challenges!$J$23),S25+1,S25)),S25))</f>
        <v/>
      </c>
      <c r="U25" s="0" t="str">
        <f aca="false">IF($B25="","",IF(Challenges!$L$24=1,IF($B25=Challenges!$D$24,Challenges!$K$24,IF(AND(T25&gt;=Challenges!$K$24,T25&lt;Challenges!$J$24),T25+1,T25)),T25))</f>
        <v/>
      </c>
      <c r="V25" s="0" t="str">
        <f aca="false">IF($B25="","",IF(Challenges!$L$25=1,IF($B25=Challenges!$D$25,Challenges!$K$25,IF(AND(U25&gt;=Challenges!$K$25,U25&lt;Challenges!$J$25),U25+1,U25)),U25))</f>
        <v/>
      </c>
      <c r="W25" s="0" t="str">
        <f aca="false">IF($B25="","",IF(Challenges!$L$26=1,IF($B25=Challenges!$D$26,Challenges!$K$26,IF(AND(V25&gt;=Challenges!$K$26,V25&lt;Challenges!$J$26),V25+1,V25)),V25))</f>
        <v/>
      </c>
      <c r="X25" s="0" t="str">
        <f aca="false">IF($B25="","",IF(Challenges!$L$27=1,IF($B25=Challenges!$D$27,Challenges!$K$27,IF(AND(W25&gt;=Challenges!$K$27,W25&lt;Challenges!$J$27),W25+1,W25)),W25))</f>
        <v/>
      </c>
      <c r="Y25" s="0" t="str">
        <f aca="false">IF($B25="","",IF(Challenges!$L$28=1,IF($B25=Challenges!$D$28,Challenges!$K$28,IF(AND(X25&gt;=Challenges!$K$28,X25&lt;Challenges!$J$28),X25+1,X25)),X25))</f>
        <v/>
      </c>
      <c r="Z25" s="0" t="str">
        <f aca="false">IF($B25="","",IF(Challenges!$L$29=1,IF($B25=Challenges!$D$29,Challenges!$K$29,IF(AND(Y25&gt;=Challenges!$K$29,Y25&lt;Challenges!$J$29),Y25+1,Y25)),Y25))</f>
        <v/>
      </c>
      <c r="AA25" s="0" t="str">
        <f aca="false">IF($B25="","",IF(Challenges!$L$30=1,IF($B25=Challenges!$D$30,Challenges!$K$30,IF(AND(Z25&gt;=Challenges!$K$30,Z25&lt;Challenges!$J$30),Z25+1,Z25)),Z25))</f>
        <v/>
      </c>
      <c r="AB25" s="0" t="str">
        <f aca="false">IF($B25="","",IF(Challenges!$L$31=1,IF($B25=Challenges!$D$31,Challenges!$K$31,IF(AND(AA25&gt;=Challenges!$K$31,AA25&lt;Challenges!$J$31),AA25+1,AA25)),AA25))</f>
        <v/>
      </c>
      <c r="AC25" s="0" t="str">
        <f aca="false">IF($B25="","",IF(Challenges!$L$32=1,IF($B25=Challenges!$D$32,Challenges!$K$32,IF(AND(AB25&gt;=Challenges!$K$32,AB25&lt;Challenges!$J$32),AB25+1,AB25)),AB25))</f>
        <v/>
      </c>
      <c r="AD25" s="0" t="str">
        <f aca="false">IF($B25="","",IF(Challenges!$L$33=1,IF($B25=Challenges!$D$33,Challenges!$K$33,IF(AND(AC25&gt;=Challenges!$K$33,AC25&lt;Challenges!$J$33),AC25+1,AC25)),AC25))</f>
        <v/>
      </c>
      <c r="AE25" s="0" t="str">
        <f aca="false">IF($B25="","",IF(Challenges!$L$34=1,IF($B25=Challenges!$D$34,Challenges!$K$34,IF(AND(AD25&gt;=Challenges!$K$34,AD25&lt;Challenges!$J$34),AD25+1,AD25)),AD25))</f>
        <v/>
      </c>
      <c r="AF25" s="0" t="str">
        <f aca="false">IF($B25="","",IF(Challenges!$L$35=1,IF($B25=Challenges!$D$35,Challenges!$K$35,IF(AND(AE25&gt;=Challenges!$K$35,AE25&lt;Challenges!$J$35),AE25+1,AE25)),AE25))</f>
        <v/>
      </c>
      <c r="AG25" s="0" t="str">
        <f aca="false">IF($B25="","",IF(Challenges!$L$36=1,IF($B25=Challenges!$D$36,Challenges!$K$36,IF(AND(AF25&gt;=Challenges!$K$36,AF25&lt;Challenges!$J$36),AF25+1,AF25)),AF25))</f>
        <v/>
      </c>
      <c r="AH25" s="0" t="str">
        <f aca="false">IF($B25="","",IF(Challenges!$L$37=1,IF($B25=Challenges!$D$37,Challenges!$K$37,IF(AND(AG25&gt;=Challenges!$K$37,AG25&lt;Challenges!$J$37),AG25+1,AG25)),AG25))</f>
        <v/>
      </c>
      <c r="AI25" s="0" t="str">
        <f aca="false">IF($B25="","",IF(Challenges!$L$38=1,IF($B25=Challenges!$D$38,Challenges!$K$38,IF(AND(AH25&gt;=Challenges!$K$38,AH25&lt;Challenges!$J$38),AH25+1,AH25)),AH25))</f>
        <v/>
      </c>
      <c r="AJ25" s="0" t="str">
        <f aca="false">IF($B25="","",IF(Challenges!$L$39=1,IF($B25=Challenges!$D$39,Challenges!$K$39,IF(AND(AI25&gt;=Challenges!$K$39,AI25&lt;Challenges!$J$39),AI25+1,AI25)),AI25))</f>
        <v/>
      </c>
      <c r="AK25" s="0" t="str">
        <f aca="false">IF($B25="","",IF(Challenges!$L$40=1,IF($B25=Challenges!$D$40,Challenges!$K$40,IF(AND(AJ25&gt;=Challenges!$K$40,AJ25&lt;Challenges!$J$40),AJ25+1,AJ25)),AJ25))</f>
        <v/>
      </c>
      <c r="AL25" s="0" t="str">
        <f aca="false">IF($B25="","",IF(Challenges!$L$41=1,IF($B25=Challenges!$D$41,Challenges!$K$41,IF(AND(AK25&gt;=Challenges!$K$41,AK25&lt;Challenges!$J$41),AK25+1,AK25)),AK25))</f>
        <v/>
      </c>
      <c r="AM25" s="0" t="str">
        <f aca="false">IF($B25="","",IF(Challenges!$L$42=1,IF($B25=Challenges!$D$42,Challenges!$K$42,IF(AND(AL25&gt;=Challenges!$K$42,AL25&lt;Challenges!$J$42),AL25+1,AL25)),AL25))</f>
        <v/>
      </c>
      <c r="AN25" s="0" t="str">
        <f aca="false">IF($B25="","",IF(Challenges!$L$43=1,IF($B25=Challenges!$D$43,Challenges!$K$43,IF(AND(AM25&gt;=Challenges!$K$43,AM25&lt;Challenges!$J$43),AM25+1,AM25)),AM25))</f>
        <v/>
      </c>
      <c r="AO25" s="0" t="str">
        <f aca="false">IF($B25="","",IF(Challenges!$L$44=1,IF($B25=Challenges!$D$44,Challenges!$K$44,IF(AND(AN25&gt;=Challenges!$K$44,AN25&lt;Challenges!$J$44),AN25+1,AN25)),AN25))</f>
        <v/>
      </c>
      <c r="AP25" s="0" t="str">
        <f aca="false">IF($B25="","",IF(Challenges!$L$45=1,IF($B25=Challenges!$D$45,Challenges!$K$45,IF(AND(AO25&gt;=Challenges!$K$45,AO25&lt;Challenges!$J$45),AO25+1,AO25)),AO25))</f>
        <v/>
      </c>
      <c r="AQ25" s="0" t="str">
        <f aca="false">IF($B25="","",IF(Challenges!$L$46=1,IF($B25=Challenges!$D$46,Challenges!$K$46,IF(AND(AP25&gt;=Challenges!$K$46,AP25&lt;Challenges!$J$46),AP25+1,AP25)),AP25))</f>
        <v/>
      </c>
      <c r="AR25" s="0" t="str">
        <f aca="false">IF($B25="","",IF(Challenges!$L$47=1,IF($B25=Challenges!$D$47,Challenges!$K$47,IF(AND(AQ25&gt;=Challenges!$K$47,AQ25&lt;Challenges!$J$47),AQ25+1,AQ25)),AQ25))</f>
        <v/>
      </c>
      <c r="AS25" s="0" t="str">
        <f aca="false">IF($B25="","",IF(Challenges!$L$48=1,IF($B25=Challenges!$D$48,Challenges!$K$48,IF(AND(AR25&gt;=Challenges!$K$48,AR25&lt;Challenges!$J$48),AR25+1,AR25)),AR25))</f>
        <v/>
      </c>
      <c r="AT25" s="0" t="str">
        <f aca="false">IF($B25="","",IF(Challenges!$L$49=1,IF($B25=Challenges!$D$49,Challenges!$K$49,IF(AND(AS25&gt;=Challenges!$K$49,AS25&lt;Challenges!$J$49),AS25+1,AS25)),AS25))</f>
        <v/>
      </c>
      <c r="AU25" s="0" t="str">
        <f aca="false">IF($B25="","",IF(Challenges!$L$50=1,IF($B25=Challenges!$D$50,Challenges!$K$50,IF(AND(AT25&gt;=Challenges!$K$50,AT25&lt;Challenges!$J$50),AT25+1,AT25)),AT25))</f>
        <v/>
      </c>
      <c r="AV25" s="0" t="str">
        <f aca="false">IF($B25="","",IF(Challenges!$L$51=1,IF($B25=Challenges!$D$51,Challenges!$K$51,IF(AND(AU25&gt;=Challenges!$K$51,AU25&lt;Challenges!$J$51),AU25+1,AU25)),AU25))</f>
        <v/>
      </c>
      <c r="AW25" s="0" t="str">
        <f aca="false">IF($B25="","",IF(Challenges!$L$52=1,IF($B25=Challenges!$D$52,Challenges!$K$52,IF(AND(AV25&gt;=Challenges!$K$52,AV25&lt;Challenges!$J$52),AV25+1,AV25)),AV25))</f>
        <v/>
      </c>
      <c r="AX25" s="0" t="str">
        <f aca="false">IF($B25="","",IF(Challenges!$L$53=1,IF($B25=Challenges!$D$53,Challenges!$K$53,IF(AND(AW25&gt;=Challenges!$K$53,AW25&lt;Challenges!$J$53),AW25+1,AW25)),AW25))</f>
        <v/>
      </c>
      <c r="AY25" s="0" t="str">
        <f aca="false">IF($B25="","",IF(Challenges!$L$54=1,IF($B25=Challenges!$D$54,Challenges!$K$54,IF(AND(AX25&gt;=Challenges!$K$54,AX25&lt;Challenges!$J$54),AX25+1,AX25)),AX25))</f>
        <v/>
      </c>
      <c r="AZ25" s="0" t="str">
        <f aca="false">IF($B25="","",IF(Challenges!$L$55=1,IF($B25=Challenges!$D$55,Challenges!$K$55,IF(AND(AY25&gt;=Challenges!$K$55,AY25&lt;Challenges!$J$55),AY25+1,AY25)),AY25))</f>
        <v/>
      </c>
      <c r="BA25" s="0" t="str">
        <f aca="false">IF($B25="","",IF(Challenges!$L$56=1,IF($B25=Challenges!$D$56,Challenges!$K$56,IF(AND(AZ25&gt;=Challenges!$K$56,AZ25&lt;Challenges!$J$56),AZ25+1,AZ25)),AZ25))</f>
        <v/>
      </c>
      <c r="BB25" s="0" t="str">
        <f aca="false">IF($B25="","",IF(Challenges!$L$57=1,IF($B25=Challenges!$D$57,Challenges!$K$57,IF(AND(BA25&gt;=Challenges!$K$57,BA25&lt;Challenges!$J$57),BA25+1,BA25)),BA25))</f>
        <v/>
      </c>
      <c r="BC25" s="0" t="str">
        <f aca="false">IF($B25="","",IF(Challenges!$L$58=1,IF($B25=Challenges!$D$58,Challenges!$K$58,IF(AND(BB25&gt;=Challenges!$K$58,BB25&lt;Challenges!$J$58),BB25+1,BB25)),BB25))</f>
        <v/>
      </c>
      <c r="BD25" s="0" t="str">
        <f aca="false">IF($B25="","",IF(Challenges!$L$59=1,IF($B25=Challenges!$D$59,Challenges!$K$59,IF(AND(BC25&gt;=Challenges!$K$59,BC25&lt;Challenges!$J$59),BC25+1,BC25)),BC25))</f>
        <v/>
      </c>
      <c r="BE25" s="0" t="str">
        <f aca="false">IF($B25="","",IF(Challenges!$L$60=1,IF($B25=Challenges!$D$60,Challenges!$K$60,IF(AND(BD25&gt;=Challenges!$K$60,BD25&lt;Challenges!$J$60),BD25+1,BD25)),BD25))</f>
        <v/>
      </c>
      <c r="BF25" s="0" t="str">
        <f aca="false">IF($B25="","",IF(Challenges!$L$61=1,IF($B25=Challenges!$D$61,Challenges!$K$61,IF(AND(BE25&gt;=Challenges!$K$61,BE25&lt;Challenges!$J$61),BE25+1,BE25)),BE25))</f>
        <v/>
      </c>
      <c r="BG25" s="0" t="str">
        <f aca="false">IF($B25="","",IF(Challenges!$L$62=1,IF($B25=Challenges!$D$62,Challenges!$K$62,IF(AND(BF25&gt;=Challenges!$K$62,BF25&lt;Challenges!$J$62),BF25+1,BF25)),BF25))</f>
        <v/>
      </c>
      <c r="BH25" s="0" t="str">
        <f aca="false">IF($B25="","",IF(Challenges!$L$63=1,IF($B25=Challenges!$D$63,Challenges!$K$63,IF(AND(BG25&gt;=Challenges!$K$63,BG25&lt;Challenges!$J$63),BG25+1,BG25)),BG25))</f>
        <v/>
      </c>
      <c r="BI25" s="0" t="str">
        <f aca="false">IF($B25="","",IF(Challenges!$L$64=1,IF($B25=Challenges!$D$64,Challenges!$K$64,IF(AND(BH25&gt;=Challenges!$K$64,BH25&lt;Challenges!$J$64),BH25+1,BH25)),BH25))</f>
        <v/>
      </c>
      <c r="BJ25" s="0" t="str">
        <f aca="false">IF($B25="","",IF(Challenges!$L$65=1,IF($B25=Challenges!$D$65,Challenges!$K$65,IF(AND(BI25&gt;=Challenges!$K$65,BI25&lt;Challenges!$J$65),BI25+1,BI25)),BI25))</f>
        <v/>
      </c>
      <c r="BK25" s="0" t="str">
        <f aca="false">IF($B25="","",IF(Challenges!$L$66=1,IF($B25=Challenges!$D$66,Challenges!$K$66,IF(AND(BJ25&gt;=Challenges!$K$66,BJ25&lt;Challenges!$J$66),BJ25+1,BJ25)),BJ25))</f>
        <v/>
      </c>
      <c r="BL25" s="0" t="str">
        <f aca="false">IF($B25="","",IF(Challenges!$L$67=1,IF($B25=Challenges!$D$67,Challenges!$K$67,IF(AND(BK25&gt;=Challenges!$K$67,BK25&lt;Challenges!$J$67),BK25+1,BK25)),BK25))</f>
        <v/>
      </c>
      <c r="BM25" s="0" t="str">
        <f aca="false">IF($B25="","",IF(Challenges!$L$68=1,IF($B25=Challenges!$D$68,Challenges!$K$68,IF(AND(BL25&gt;=Challenges!$K$68,BL25&lt;Challenges!$J$68),BL25+1,BL25)),BL25))</f>
        <v/>
      </c>
      <c r="BN25" s="0" t="str">
        <f aca="false">IF($B25="","",IF(Challenges!$L$69=1,IF($B25=Challenges!$D$69,Challenges!$K$69,IF(AND(BM25&gt;=Challenges!$K$69,BM25&lt;Challenges!$J$69),BM25+1,BM25)),BM25))</f>
        <v/>
      </c>
      <c r="BO25" s="0" t="str">
        <f aca="false">IF($B25="","",IF(Challenges!$L$70=1,IF($B25=Challenges!$D$70,Challenges!$K$70,IF(AND(BN25&gt;=Challenges!$K$70,BN25&lt;Challenges!$J$70),BN25+1,BN25)),BN25))</f>
        <v/>
      </c>
      <c r="BP25" s="0" t="str">
        <f aca="false">IF($B25="","",IF(Challenges!$L$71=1,IF($B25=Challenges!$D$71,Challenges!$K$71,IF(AND(BO25&gt;=Challenges!$K$71,BO25&lt;Challenges!$J$71),BO25+1,BO25)),BO25))</f>
        <v/>
      </c>
      <c r="BQ25" s="0" t="str">
        <f aca="false">IF($B25="","",IF(Challenges!$L$72=1,IF($B25=Challenges!$D$72,Challenges!$K$72,IF(AND(BP25&gt;=Challenges!$K$72,BP25&lt;Challenges!$J$72),BP25+1,BP25)),BP25))</f>
        <v/>
      </c>
      <c r="BR25" s="0" t="str">
        <f aca="false">IF($B25="","",IF(Challenges!$L$73=1,IF($B25=Challenges!$D$73,Challenges!$K$73,IF(AND(BQ25&gt;=Challenges!$K$73,BQ25&lt;Challenges!$J$73),BQ25+1,BQ25)),BQ25))</f>
        <v/>
      </c>
      <c r="BS25" s="0" t="str">
        <f aca="false">IF($B25="","",IF(Challenges!$L$74=1,IF($B25=Challenges!$D$74,Challenges!$K$74,IF(AND(BR25&gt;=Challenges!$K$74,BR25&lt;Challenges!$J$74),BR25+1,BR25)),BR25))</f>
        <v/>
      </c>
      <c r="BT25" s="0" t="str">
        <f aca="false">IF($B25="","",IF(Challenges!$L$75=1,IF($B25=Challenges!$D$75,Challenges!$K$75,IF(AND(BS25&gt;=Challenges!$K$75,BS25&lt;Challenges!$J$75),BS25+1,BS25)),BS25))</f>
        <v/>
      </c>
      <c r="BU25" s="0" t="str">
        <f aca="false">IF($B25="","",IF(Challenges!$L$76=1,IF($B25=Challenges!$D$76,Challenges!$K$76,IF(AND(BT25&gt;=Challenges!$K$76,BT25&lt;Challenges!$J$76),BT25+1,BT25)),BT25))</f>
        <v/>
      </c>
      <c r="BV25" s="0" t="str">
        <f aca="false">IF($B25="","",IF(Challenges!$L$77=1,IF($B25=Challenges!$D$77,Challenges!$K$77,IF(AND(BU25&gt;=Challenges!$K$77,BU25&lt;Challenges!$J$77),BU25+1,BU25)),BU25))</f>
        <v/>
      </c>
      <c r="BW25" s="0" t="str">
        <f aca="false">IF($B25="","",IF(Challenges!$L$78=1,IF($B25=Challenges!$D$78,Challenges!$K$78,IF(AND(BV25&gt;=Challenges!$K$78,BV25&lt;Challenges!$J$78),BV25+1,BV25)),BV25))</f>
        <v/>
      </c>
      <c r="BX25" s="0" t="str">
        <f aca="false">IF($B25="","",IF(Challenges!$L$79=1,IF($B25=Challenges!$D$79,Challenges!$K$79,IF(AND(BW25&gt;=Challenges!$K$79,BW25&lt;Challenges!$J$79),BW25+1,BW25)),BW25))</f>
        <v/>
      </c>
      <c r="BY25" s="0" t="str">
        <f aca="false">IF($B25="","",IF(Challenges!$L$80=1,IF($B25=Challenges!$D$80,Challenges!$K$80,IF(AND(BX25&gt;=Challenges!$K$80,BX25&lt;Challenges!$J$80),BX25+1,BX25)),BX25))</f>
        <v/>
      </c>
      <c r="BZ25" s="0" t="str">
        <f aca="false">IF($B25="","",IF(Challenges!$L$81=1,IF($B25=Challenges!$D$81,Challenges!$K$81,IF(AND(BY25&gt;=Challenges!$K$81,BY25&lt;Challenges!$J$81),BY25+1,BY25)),BY25))</f>
        <v/>
      </c>
      <c r="CA25" s="0" t="str">
        <f aca="false">IF($B25="","",IF(Challenges!$L$82=1,IF($B25=Challenges!$D$82,Challenges!$K$82,IF(AND(BZ25&gt;=Challenges!$K$82,BZ25&lt;Challenges!$J$82),BZ25+1,BZ25)),BZ25))</f>
        <v/>
      </c>
      <c r="CB25" s="0" t="str">
        <f aca="false">IF($B25="","",IF(Challenges!$L$83=1,IF($B25=Challenges!$D$83,Challenges!$K$83,IF(AND(CA25&gt;=Challenges!$K$83,CA25&lt;Challenges!$J$83),CA25+1,CA25)),CA25))</f>
        <v/>
      </c>
      <c r="CC25" s="0" t="str">
        <f aca="false">IF($B25="","",IF(Challenges!$L$84=1,IF($B25=Challenges!$D$84,Challenges!$K$84,IF(AND(CB25&gt;=Challenges!$K$84,CB25&lt;Challenges!$J$84),CB25+1,CB25)),CB25))</f>
        <v/>
      </c>
      <c r="CD25" s="0" t="str">
        <f aca="false">IF($B25="","",IF(Challenges!$L$85=1,IF($B25=Challenges!$D$85,Challenges!$K$85,IF(AND(CC25&gt;=Challenges!$K$85,CC25&lt;Challenges!$J$85),CC25+1,CC25)),CC25))</f>
        <v/>
      </c>
      <c r="CE25" s="0" t="str">
        <f aca="false">IF($B25="","",IF(Challenges!$L$86=1,IF($B25=Challenges!$D$86,Challenges!$K$86,IF(AND(CD25&gt;=Challenges!$K$86,CD25&lt;Challenges!$J$86),CD25+1,CD25)),CD25))</f>
        <v/>
      </c>
      <c r="CF25" s="0" t="str">
        <f aca="false">IF($B25="","",IF(Challenges!$L$87=1,IF($B25=Challenges!$D$87,Challenges!$K$87,IF(AND(CE25&gt;=Challenges!$K$87,CE25&lt;Challenges!$J$87),CE25+1,CE25)),CE25))</f>
        <v/>
      </c>
      <c r="CG25" s="0" t="str">
        <f aca="false">IF($B25="","",IF(Challenges!$L$88=1,IF($B25=Challenges!$D$88,Challenges!$K$88,IF(AND(CF25&gt;=Challenges!$K$88,CF25&lt;Challenges!$J$88),CF25+1,CF25)),CF25))</f>
        <v/>
      </c>
      <c r="CH25" s="0" t="str">
        <f aca="false">IF($B25="","",IF(Challenges!$L$89=1,IF($B25=Challenges!$D$89,Challenges!$K$89,IF(AND(CG25&gt;=Challenges!$K$89,CG25&lt;Challenges!$J$89),CG25+1,CG25)),CG25))</f>
        <v/>
      </c>
      <c r="CI25" s="0" t="str">
        <f aca="false">IF($B25="","",IF(Challenges!$L$90=1,IF($B25=Challenges!$D$90,Challenges!$K$90,IF(AND(CH25&gt;=Challenges!$K$90,CH25&lt;Challenges!$J$90),CH25+1,CH25)),CH25))</f>
        <v/>
      </c>
      <c r="CJ25" s="0" t="str">
        <f aca="false">IF($B25="","",IF(Challenges!$L$91=1,IF($B25=Challenges!$D$91,Challenges!$K$91,IF(AND(CI25&gt;=Challenges!$K$91,CI25&lt;Challenges!$J$91),CI25+1,CI25)),CI25))</f>
        <v/>
      </c>
      <c r="CK25" s="0" t="str">
        <f aca="false">IF($B25="","",IF(Challenges!$L$92=1,IF($B25=Challenges!$D$92,Challenges!$K$92,IF(AND(CJ25&gt;=Challenges!$K$92,CJ25&lt;Challenges!$J$92),CJ25+1,CJ25)),CJ25))</f>
        <v/>
      </c>
      <c r="CL25" s="0" t="str">
        <f aca="false">IF($B25="","",IF(Challenges!$L$93=1,IF($B25=Challenges!$D$93,Challenges!$K$93,IF(AND(CK25&gt;=Challenges!$K$93,CK25&lt;Challenges!$J$93),CK25+1,CK25)),CK25))</f>
        <v/>
      </c>
      <c r="CM25" s="0" t="str">
        <f aca="false">IF($B25="","",IF(Challenges!$L$94=1,IF($B25=Challenges!$D$94,Challenges!$K$94,IF(AND(CL25&gt;=Challenges!$K$94,CL25&lt;Challenges!$J$94),CL25+1,CL25)),CL25))</f>
        <v/>
      </c>
      <c r="CN25" s="0" t="str">
        <f aca="false">IF($B25="","",IF(Challenges!$L$95=1,IF($B25=Challenges!$D$95,Challenges!$K$95,IF(AND(CM25&gt;=Challenges!$K$95,CM25&lt;Challenges!$J$95),CM25+1,CM25)),CM25))</f>
        <v/>
      </c>
      <c r="CO25" s="0" t="str">
        <f aca="false">IF($B25="","",IF(Challenges!$L$96=1,IF($B25=Challenges!$D$96,Challenges!$K$96,IF(AND(CN25&gt;=Challenges!$K$96,CN25&lt;Challenges!$J$96),CN25+1,CN25)),CN25))</f>
        <v/>
      </c>
      <c r="CP25" s="0" t="str">
        <f aca="false">IF($B25="","",IF(Challenges!$L$97=1,IF($B25=Challenges!$D$97,Challenges!$K$97,IF(AND(CO25&gt;=Challenges!$K$97,CO25&lt;Challenges!$J$97),CO25+1,CO25)),CO25))</f>
        <v/>
      </c>
      <c r="CQ25" s="0" t="str">
        <f aca="false">IF($B25="","",IF(Challenges!$L$98=1,IF($B25=Challenges!$D$98,Challenges!$K$98,IF(AND(CP25&gt;=Challenges!$K$98,CP25&lt;Challenges!$J$98),CP25+1,CP25)),CP25))</f>
        <v/>
      </c>
      <c r="CR25" s="0" t="str">
        <f aca="false">IF($B25="","",IF(Challenges!$L$99=1,IF($B25=Challenges!$D$99,Challenges!$K$99,IF(AND(CQ25&gt;=Challenges!$K$99,CQ25&lt;Challenges!$J$99),CQ25+1,CQ25)),CQ25))</f>
        <v/>
      </c>
      <c r="CS25" s="0" t="str">
        <f aca="false">IF($B25="","",IF(Challenges!$L$100=1,IF($B25=Challenges!$D$100,Challenges!$K$100,IF(AND(CR25&gt;=Challenges!$K$100,CR25&lt;Challenges!$J$100),CR25+1,CR25)),CR25))</f>
        <v/>
      </c>
      <c r="CT25" s="0" t="str">
        <f aca="false">IF($B25="","",IF(Challenges!$L$101=1,IF($B25=Challenges!$D$101,Challenges!$K$101,IF(AND(CS25&gt;=Challenges!$K$101,CS25&lt;Challenges!$J$101),CS25+1,CS25)),CS25))</f>
        <v/>
      </c>
      <c r="CU25" s="0" t="str">
        <f aca="false">IF($B25="","",IF(Challenges!$L$102=1,IF($B25=Challenges!$D$102,Challenges!$K$102,IF(AND(CT25&gt;=Challenges!$K$102,CT25&lt;Challenges!$J$102),CT25+1,CT25)),CT25))</f>
        <v/>
      </c>
      <c r="CV25" s="0" t="str">
        <f aca="false">IF($B25="","",IF(Challenges!$L$103=1,IF($B25=Challenges!$D$103,Challenges!$K$103,IF(AND(CU25&gt;=Challenges!$K$103,CU25&lt;Challenges!$J$103),CU25+1,CU25)),CU25))</f>
        <v/>
      </c>
      <c r="CW25" s="0" t="str">
        <f aca="false">IF($B25="","",IF(Challenges!$L$104=1,IF($B25=Challenges!$D$104,Challenges!$K$104,IF(AND(CV25&gt;=Challenges!$K$104,CV25&lt;Challenges!$J$104),CV25+1,CV25)),CV25))</f>
        <v/>
      </c>
      <c r="CX25" s="0" t="str">
        <f aca="false">IF($B25="","",IF(Challenges!$L$105=1,IF($B25=Challenges!$D$105,Challenges!$K$105,IF(AND(CW25&gt;=Challenges!$K$105,CW25&lt;Challenges!$J$105),CW25+1,CW25)),CW25))</f>
        <v/>
      </c>
      <c r="CY25" s="0" t="str">
        <f aca="false">IF($B25="","",IF(Challenges!$L$106=1,IF($B25=Challenges!$D$106,Challenges!$K$106,IF(AND(CX25&gt;=Challenges!$K$106,CX25&lt;Challenges!$J$106),CX25+1,CX25)),CX25))</f>
        <v/>
      </c>
    </row>
    <row r="26" customFormat="false" ht="15" hidden="false" customHeight="false" outlineLevel="0" collapsed="false">
      <c r="B26" s="0" t="str">
        <f aca="false">IF(Ladder!$C26="","",Ladder!$C26)</f>
        <v/>
      </c>
      <c r="C26" s="0" t="str">
        <f aca="false">IF($B26="","",ROW()-6)</f>
        <v/>
      </c>
      <c r="D26" s="0" t="str">
        <f aca="false">IF($B26="","",IF(Challenges!$L$7=1,IF($B26=Challenges!$D$7,Challenges!$K$7,IF(AND(C26&gt;=Challenges!$K$7,C26&lt;Challenges!$J$7),C26+1,C26)),C26))</f>
        <v/>
      </c>
      <c r="E26" s="0" t="str">
        <f aca="false">IF($B26="","",IF(Challenges!$L$8=1,IF($B26=Challenges!$D$8,Challenges!$K$8,IF(AND(D26&gt;=Challenges!$K$8,D26&lt;Challenges!$J$8),D26+1,D26)),D26))</f>
        <v/>
      </c>
      <c r="F26" s="0" t="str">
        <f aca="false">IF($B26="","",IF(Challenges!$L$9=1,IF($B26=Challenges!$D$9,Challenges!$K$9,IF(AND(E26&gt;=Challenges!$K$9,E26&lt;Challenges!$J$9),E26+1,E26)),E26))</f>
        <v/>
      </c>
      <c r="G26" s="0" t="str">
        <f aca="false">IF($B26="","",IF(Challenges!$L$10=1,IF($B26=Challenges!$D$10,Challenges!$K$10,IF(AND(F26&gt;=Challenges!$K$10,F26&lt;Challenges!$J$10),F26+1,F26)),F26))</f>
        <v/>
      </c>
      <c r="H26" s="0" t="str">
        <f aca="false">IF($B26="","",IF(Challenges!$L$11=1,IF($B26=Challenges!$D$11,Challenges!$K$11,IF(AND(G26&gt;=Challenges!$K$11,G26&lt;Challenges!$J$11),G26+1,G26)),G26))</f>
        <v/>
      </c>
      <c r="I26" s="0" t="str">
        <f aca="false">IF($B26="","",IF(Challenges!$L$12=1,IF($B26=Challenges!$D$12,Challenges!$K$12,IF(AND(H26&gt;=Challenges!$K$12,H26&lt;Challenges!$J$12),H26+1,H26)),H26))</f>
        <v/>
      </c>
      <c r="J26" s="0" t="str">
        <f aca="false">IF($B26="","",IF(Challenges!$L$13=1,IF($B26=Challenges!$D$13,Challenges!$K$13,IF(AND(I26&gt;=Challenges!$K$13,I26&lt;Challenges!$J$13),I26+1,I26)),I26))</f>
        <v/>
      </c>
      <c r="K26" s="0" t="str">
        <f aca="false">IF($B26="","",IF(Challenges!$L$14=1,IF($B26=Challenges!$D$14,Challenges!$K$14,IF(AND(J26&gt;=Challenges!$K$14,J26&lt;Challenges!$J$14),J26+1,J26)),J26))</f>
        <v/>
      </c>
      <c r="L26" s="0" t="str">
        <f aca="false">IF($B26="","",IF(Challenges!$L$15=1,IF($B26=Challenges!$D$15,Challenges!$K$15,IF(AND(K26&gt;=Challenges!$K$15,K26&lt;Challenges!$J$15),K26+1,K26)),K26))</f>
        <v/>
      </c>
      <c r="M26" s="0" t="str">
        <f aca="false">IF($B26="","",IF(Challenges!$L$16=1,IF($B26=Challenges!$D$16,Challenges!$K$16,IF(AND(L26&gt;=Challenges!$K$16,L26&lt;Challenges!$J$16),L26+1,L26)),L26))</f>
        <v/>
      </c>
      <c r="N26" s="0" t="str">
        <f aca="false">IF($B26="","",IF(Challenges!$L$17=1,IF($B26=Challenges!$D$17,Challenges!$K$17,IF(AND(M26&gt;=Challenges!$K$17,M26&lt;Challenges!$J$17),M26+1,M26)),M26))</f>
        <v/>
      </c>
      <c r="O26" s="0" t="str">
        <f aca="false">IF($B26="","",IF(Challenges!$L$18=1,IF($B26=Challenges!$D$18,Challenges!$K$18,IF(AND(N26&gt;=Challenges!$K$18,N26&lt;Challenges!$J$18),N26+1,N26)),N26))</f>
        <v/>
      </c>
      <c r="P26" s="0" t="str">
        <f aca="false">IF($B26="","",IF(Challenges!$L$19=1,IF($B26=Challenges!$D$19,Challenges!$K$19,IF(AND(O26&gt;=Challenges!$K$19,O26&lt;Challenges!$J$19),O26+1,O26)),O26))</f>
        <v/>
      </c>
      <c r="Q26" s="0" t="str">
        <f aca="false">IF($B26="","",IF(Challenges!$L$20=1,IF($B26=Challenges!$D$20,Challenges!$K$20,IF(AND(P26&gt;=Challenges!$K$20,P26&lt;Challenges!$J$20),P26+1,P26)),P26))</f>
        <v/>
      </c>
      <c r="R26" s="0" t="str">
        <f aca="false">IF($B26="","",IF(Challenges!$L$21=1,IF($B26=Challenges!$D$21,Challenges!$K$21,IF(AND(Q26&gt;=Challenges!$K$21,Q26&lt;Challenges!$J$21),Q26+1,Q26)),Q26))</f>
        <v/>
      </c>
      <c r="S26" s="0" t="str">
        <f aca="false">IF($B26="","",IF(Challenges!$L$22=1,IF($B26=Challenges!$D$22,Challenges!$K$22,IF(AND(R26&gt;=Challenges!$K$22,R26&lt;Challenges!$J$22),R26+1,R26)),R26))</f>
        <v/>
      </c>
      <c r="T26" s="0" t="str">
        <f aca="false">IF($B26="","",IF(Challenges!$L$23=1,IF($B26=Challenges!$D$23,Challenges!$K$23,IF(AND(S26&gt;=Challenges!$K$23,S26&lt;Challenges!$J$23),S26+1,S26)),S26))</f>
        <v/>
      </c>
      <c r="U26" s="0" t="str">
        <f aca="false">IF($B26="","",IF(Challenges!$L$24=1,IF($B26=Challenges!$D$24,Challenges!$K$24,IF(AND(T26&gt;=Challenges!$K$24,T26&lt;Challenges!$J$24),T26+1,T26)),T26))</f>
        <v/>
      </c>
      <c r="V26" s="0" t="str">
        <f aca="false">IF($B26="","",IF(Challenges!$L$25=1,IF($B26=Challenges!$D$25,Challenges!$K$25,IF(AND(U26&gt;=Challenges!$K$25,U26&lt;Challenges!$J$25),U26+1,U26)),U26))</f>
        <v/>
      </c>
      <c r="W26" s="0" t="str">
        <f aca="false">IF($B26="","",IF(Challenges!$L$26=1,IF($B26=Challenges!$D$26,Challenges!$K$26,IF(AND(V26&gt;=Challenges!$K$26,V26&lt;Challenges!$J$26),V26+1,V26)),V26))</f>
        <v/>
      </c>
      <c r="X26" s="0" t="str">
        <f aca="false">IF($B26="","",IF(Challenges!$L$27=1,IF($B26=Challenges!$D$27,Challenges!$K$27,IF(AND(W26&gt;=Challenges!$K$27,W26&lt;Challenges!$J$27),W26+1,W26)),W26))</f>
        <v/>
      </c>
      <c r="Y26" s="0" t="str">
        <f aca="false">IF($B26="","",IF(Challenges!$L$28=1,IF($B26=Challenges!$D$28,Challenges!$K$28,IF(AND(X26&gt;=Challenges!$K$28,X26&lt;Challenges!$J$28),X26+1,X26)),X26))</f>
        <v/>
      </c>
      <c r="Z26" s="0" t="str">
        <f aca="false">IF($B26="","",IF(Challenges!$L$29=1,IF($B26=Challenges!$D$29,Challenges!$K$29,IF(AND(Y26&gt;=Challenges!$K$29,Y26&lt;Challenges!$J$29),Y26+1,Y26)),Y26))</f>
        <v/>
      </c>
      <c r="AA26" s="0" t="str">
        <f aca="false">IF($B26="","",IF(Challenges!$L$30=1,IF($B26=Challenges!$D$30,Challenges!$K$30,IF(AND(Z26&gt;=Challenges!$K$30,Z26&lt;Challenges!$J$30),Z26+1,Z26)),Z26))</f>
        <v/>
      </c>
      <c r="AB26" s="0" t="str">
        <f aca="false">IF($B26="","",IF(Challenges!$L$31=1,IF($B26=Challenges!$D$31,Challenges!$K$31,IF(AND(AA26&gt;=Challenges!$K$31,AA26&lt;Challenges!$J$31),AA26+1,AA26)),AA26))</f>
        <v/>
      </c>
      <c r="AC26" s="0" t="str">
        <f aca="false">IF($B26="","",IF(Challenges!$L$32=1,IF($B26=Challenges!$D$32,Challenges!$K$32,IF(AND(AB26&gt;=Challenges!$K$32,AB26&lt;Challenges!$J$32),AB26+1,AB26)),AB26))</f>
        <v/>
      </c>
      <c r="AD26" s="0" t="str">
        <f aca="false">IF($B26="","",IF(Challenges!$L$33=1,IF($B26=Challenges!$D$33,Challenges!$K$33,IF(AND(AC26&gt;=Challenges!$K$33,AC26&lt;Challenges!$J$33),AC26+1,AC26)),AC26))</f>
        <v/>
      </c>
      <c r="AE26" s="0" t="str">
        <f aca="false">IF($B26="","",IF(Challenges!$L$34=1,IF($B26=Challenges!$D$34,Challenges!$K$34,IF(AND(AD26&gt;=Challenges!$K$34,AD26&lt;Challenges!$J$34),AD26+1,AD26)),AD26))</f>
        <v/>
      </c>
      <c r="AF26" s="0" t="str">
        <f aca="false">IF($B26="","",IF(Challenges!$L$35=1,IF($B26=Challenges!$D$35,Challenges!$K$35,IF(AND(AE26&gt;=Challenges!$K$35,AE26&lt;Challenges!$J$35),AE26+1,AE26)),AE26))</f>
        <v/>
      </c>
      <c r="AG26" s="0" t="str">
        <f aca="false">IF($B26="","",IF(Challenges!$L$36=1,IF($B26=Challenges!$D$36,Challenges!$K$36,IF(AND(AF26&gt;=Challenges!$K$36,AF26&lt;Challenges!$J$36),AF26+1,AF26)),AF26))</f>
        <v/>
      </c>
      <c r="AH26" s="0" t="str">
        <f aca="false">IF($B26="","",IF(Challenges!$L$37=1,IF($B26=Challenges!$D$37,Challenges!$K$37,IF(AND(AG26&gt;=Challenges!$K$37,AG26&lt;Challenges!$J$37),AG26+1,AG26)),AG26))</f>
        <v/>
      </c>
      <c r="AI26" s="0" t="str">
        <f aca="false">IF($B26="","",IF(Challenges!$L$38=1,IF($B26=Challenges!$D$38,Challenges!$K$38,IF(AND(AH26&gt;=Challenges!$K$38,AH26&lt;Challenges!$J$38),AH26+1,AH26)),AH26))</f>
        <v/>
      </c>
      <c r="AJ26" s="0" t="str">
        <f aca="false">IF($B26="","",IF(Challenges!$L$39=1,IF($B26=Challenges!$D$39,Challenges!$K$39,IF(AND(AI26&gt;=Challenges!$K$39,AI26&lt;Challenges!$J$39),AI26+1,AI26)),AI26))</f>
        <v/>
      </c>
      <c r="AK26" s="0" t="str">
        <f aca="false">IF($B26="","",IF(Challenges!$L$40=1,IF($B26=Challenges!$D$40,Challenges!$K$40,IF(AND(AJ26&gt;=Challenges!$K$40,AJ26&lt;Challenges!$J$40),AJ26+1,AJ26)),AJ26))</f>
        <v/>
      </c>
      <c r="AL26" s="0" t="str">
        <f aca="false">IF($B26="","",IF(Challenges!$L$41=1,IF($B26=Challenges!$D$41,Challenges!$K$41,IF(AND(AK26&gt;=Challenges!$K$41,AK26&lt;Challenges!$J$41),AK26+1,AK26)),AK26))</f>
        <v/>
      </c>
      <c r="AM26" s="0" t="str">
        <f aca="false">IF($B26="","",IF(Challenges!$L$42=1,IF($B26=Challenges!$D$42,Challenges!$K$42,IF(AND(AL26&gt;=Challenges!$K$42,AL26&lt;Challenges!$J$42),AL26+1,AL26)),AL26))</f>
        <v/>
      </c>
      <c r="AN26" s="0" t="str">
        <f aca="false">IF($B26="","",IF(Challenges!$L$43=1,IF($B26=Challenges!$D$43,Challenges!$K$43,IF(AND(AM26&gt;=Challenges!$K$43,AM26&lt;Challenges!$J$43),AM26+1,AM26)),AM26))</f>
        <v/>
      </c>
      <c r="AO26" s="0" t="str">
        <f aca="false">IF($B26="","",IF(Challenges!$L$44=1,IF($B26=Challenges!$D$44,Challenges!$K$44,IF(AND(AN26&gt;=Challenges!$K$44,AN26&lt;Challenges!$J$44),AN26+1,AN26)),AN26))</f>
        <v/>
      </c>
      <c r="AP26" s="0" t="str">
        <f aca="false">IF($B26="","",IF(Challenges!$L$45=1,IF($B26=Challenges!$D$45,Challenges!$K$45,IF(AND(AO26&gt;=Challenges!$K$45,AO26&lt;Challenges!$J$45),AO26+1,AO26)),AO26))</f>
        <v/>
      </c>
      <c r="AQ26" s="0" t="str">
        <f aca="false">IF($B26="","",IF(Challenges!$L$46=1,IF($B26=Challenges!$D$46,Challenges!$K$46,IF(AND(AP26&gt;=Challenges!$K$46,AP26&lt;Challenges!$J$46),AP26+1,AP26)),AP26))</f>
        <v/>
      </c>
      <c r="AR26" s="0" t="str">
        <f aca="false">IF($B26="","",IF(Challenges!$L$47=1,IF($B26=Challenges!$D$47,Challenges!$K$47,IF(AND(AQ26&gt;=Challenges!$K$47,AQ26&lt;Challenges!$J$47),AQ26+1,AQ26)),AQ26))</f>
        <v/>
      </c>
      <c r="AS26" s="0" t="str">
        <f aca="false">IF($B26="","",IF(Challenges!$L$48=1,IF($B26=Challenges!$D$48,Challenges!$K$48,IF(AND(AR26&gt;=Challenges!$K$48,AR26&lt;Challenges!$J$48),AR26+1,AR26)),AR26))</f>
        <v/>
      </c>
      <c r="AT26" s="0" t="str">
        <f aca="false">IF($B26="","",IF(Challenges!$L$49=1,IF($B26=Challenges!$D$49,Challenges!$K$49,IF(AND(AS26&gt;=Challenges!$K$49,AS26&lt;Challenges!$J$49),AS26+1,AS26)),AS26))</f>
        <v/>
      </c>
      <c r="AU26" s="0" t="str">
        <f aca="false">IF($B26="","",IF(Challenges!$L$50=1,IF($B26=Challenges!$D$50,Challenges!$K$50,IF(AND(AT26&gt;=Challenges!$K$50,AT26&lt;Challenges!$J$50),AT26+1,AT26)),AT26))</f>
        <v/>
      </c>
      <c r="AV26" s="0" t="str">
        <f aca="false">IF($B26="","",IF(Challenges!$L$51=1,IF($B26=Challenges!$D$51,Challenges!$K$51,IF(AND(AU26&gt;=Challenges!$K$51,AU26&lt;Challenges!$J$51),AU26+1,AU26)),AU26))</f>
        <v/>
      </c>
      <c r="AW26" s="0" t="str">
        <f aca="false">IF($B26="","",IF(Challenges!$L$52=1,IF($B26=Challenges!$D$52,Challenges!$K$52,IF(AND(AV26&gt;=Challenges!$K$52,AV26&lt;Challenges!$J$52),AV26+1,AV26)),AV26))</f>
        <v/>
      </c>
      <c r="AX26" s="0" t="str">
        <f aca="false">IF($B26="","",IF(Challenges!$L$53=1,IF($B26=Challenges!$D$53,Challenges!$K$53,IF(AND(AW26&gt;=Challenges!$K$53,AW26&lt;Challenges!$J$53),AW26+1,AW26)),AW26))</f>
        <v/>
      </c>
      <c r="AY26" s="0" t="str">
        <f aca="false">IF($B26="","",IF(Challenges!$L$54=1,IF($B26=Challenges!$D$54,Challenges!$K$54,IF(AND(AX26&gt;=Challenges!$K$54,AX26&lt;Challenges!$J$54),AX26+1,AX26)),AX26))</f>
        <v/>
      </c>
      <c r="AZ26" s="0" t="str">
        <f aca="false">IF($B26="","",IF(Challenges!$L$55=1,IF($B26=Challenges!$D$55,Challenges!$K$55,IF(AND(AY26&gt;=Challenges!$K$55,AY26&lt;Challenges!$J$55),AY26+1,AY26)),AY26))</f>
        <v/>
      </c>
      <c r="BA26" s="0" t="str">
        <f aca="false">IF($B26="","",IF(Challenges!$L$56=1,IF($B26=Challenges!$D$56,Challenges!$K$56,IF(AND(AZ26&gt;=Challenges!$K$56,AZ26&lt;Challenges!$J$56),AZ26+1,AZ26)),AZ26))</f>
        <v/>
      </c>
      <c r="BB26" s="0" t="str">
        <f aca="false">IF($B26="","",IF(Challenges!$L$57=1,IF($B26=Challenges!$D$57,Challenges!$K$57,IF(AND(BA26&gt;=Challenges!$K$57,BA26&lt;Challenges!$J$57),BA26+1,BA26)),BA26))</f>
        <v/>
      </c>
      <c r="BC26" s="0" t="str">
        <f aca="false">IF($B26="","",IF(Challenges!$L$58=1,IF($B26=Challenges!$D$58,Challenges!$K$58,IF(AND(BB26&gt;=Challenges!$K$58,BB26&lt;Challenges!$J$58),BB26+1,BB26)),BB26))</f>
        <v/>
      </c>
      <c r="BD26" s="0" t="str">
        <f aca="false">IF($B26="","",IF(Challenges!$L$59=1,IF($B26=Challenges!$D$59,Challenges!$K$59,IF(AND(BC26&gt;=Challenges!$K$59,BC26&lt;Challenges!$J$59),BC26+1,BC26)),BC26))</f>
        <v/>
      </c>
      <c r="BE26" s="0" t="str">
        <f aca="false">IF($B26="","",IF(Challenges!$L$60=1,IF($B26=Challenges!$D$60,Challenges!$K$60,IF(AND(BD26&gt;=Challenges!$K$60,BD26&lt;Challenges!$J$60),BD26+1,BD26)),BD26))</f>
        <v/>
      </c>
      <c r="BF26" s="0" t="str">
        <f aca="false">IF($B26="","",IF(Challenges!$L$61=1,IF($B26=Challenges!$D$61,Challenges!$K$61,IF(AND(BE26&gt;=Challenges!$K$61,BE26&lt;Challenges!$J$61),BE26+1,BE26)),BE26))</f>
        <v/>
      </c>
      <c r="BG26" s="0" t="str">
        <f aca="false">IF($B26="","",IF(Challenges!$L$62=1,IF($B26=Challenges!$D$62,Challenges!$K$62,IF(AND(BF26&gt;=Challenges!$K$62,BF26&lt;Challenges!$J$62),BF26+1,BF26)),BF26))</f>
        <v/>
      </c>
      <c r="BH26" s="0" t="str">
        <f aca="false">IF($B26="","",IF(Challenges!$L$63=1,IF($B26=Challenges!$D$63,Challenges!$K$63,IF(AND(BG26&gt;=Challenges!$K$63,BG26&lt;Challenges!$J$63),BG26+1,BG26)),BG26))</f>
        <v/>
      </c>
      <c r="BI26" s="0" t="str">
        <f aca="false">IF($B26="","",IF(Challenges!$L$64=1,IF($B26=Challenges!$D$64,Challenges!$K$64,IF(AND(BH26&gt;=Challenges!$K$64,BH26&lt;Challenges!$J$64),BH26+1,BH26)),BH26))</f>
        <v/>
      </c>
      <c r="BJ26" s="0" t="str">
        <f aca="false">IF($B26="","",IF(Challenges!$L$65=1,IF($B26=Challenges!$D$65,Challenges!$K$65,IF(AND(BI26&gt;=Challenges!$K$65,BI26&lt;Challenges!$J$65),BI26+1,BI26)),BI26))</f>
        <v/>
      </c>
      <c r="BK26" s="0" t="str">
        <f aca="false">IF($B26="","",IF(Challenges!$L$66=1,IF($B26=Challenges!$D$66,Challenges!$K$66,IF(AND(BJ26&gt;=Challenges!$K$66,BJ26&lt;Challenges!$J$66),BJ26+1,BJ26)),BJ26))</f>
        <v/>
      </c>
      <c r="BL26" s="0" t="str">
        <f aca="false">IF($B26="","",IF(Challenges!$L$67=1,IF($B26=Challenges!$D$67,Challenges!$K$67,IF(AND(BK26&gt;=Challenges!$K$67,BK26&lt;Challenges!$J$67),BK26+1,BK26)),BK26))</f>
        <v/>
      </c>
      <c r="BM26" s="0" t="str">
        <f aca="false">IF($B26="","",IF(Challenges!$L$68=1,IF($B26=Challenges!$D$68,Challenges!$K$68,IF(AND(BL26&gt;=Challenges!$K$68,BL26&lt;Challenges!$J$68),BL26+1,BL26)),BL26))</f>
        <v/>
      </c>
      <c r="BN26" s="0" t="str">
        <f aca="false">IF($B26="","",IF(Challenges!$L$69=1,IF($B26=Challenges!$D$69,Challenges!$K$69,IF(AND(BM26&gt;=Challenges!$K$69,BM26&lt;Challenges!$J$69),BM26+1,BM26)),BM26))</f>
        <v/>
      </c>
      <c r="BO26" s="0" t="str">
        <f aca="false">IF($B26="","",IF(Challenges!$L$70=1,IF($B26=Challenges!$D$70,Challenges!$K$70,IF(AND(BN26&gt;=Challenges!$K$70,BN26&lt;Challenges!$J$70),BN26+1,BN26)),BN26))</f>
        <v/>
      </c>
      <c r="BP26" s="0" t="str">
        <f aca="false">IF($B26="","",IF(Challenges!$L$71=1,IF($B26=Challenges!$D$71,Challenges!$K$71,IF(AND(BO26&gt;=Challenges!$K$71,BO26&lt;Challenges!$J$71),BO26+1,BO26)),BO26))</f>
        <v/>
      </c>
      <c r="BQ26" s="0" t="str">
        <f aca="false">IF($B26="","",IF(Challenges!$L$72=1,IF($B26=Challenges!$D$72,Challenges!$K$72,IF(AND(BP26&gt;=Challenges!$K$72,BP26&lt;Challenges!$J$72),BP26+1,BP26)),BP26))</f>
        <v/>
      </c>
      <c r="BR26" s="0" t="str">
        <f aca="false">IF($B26="","",IF(Challenges!$L$73=1,IF($B26=Challenges!$D$73,Challenges!$K$73,IF(AND(BQ26&gt;=Challenges!$K$73,BQ26&lt;Challenges!$J$73),BQ26+1,BQ26)),BQ26))</f>
        <v/>
      </c>
      <c r="BS26" s="0" t="str">
        <f aca="false">IF($B26="","",IF(Challenges!$L$74=1,IF($B26=Challenges!$D$74,Challenges!$K$74,IF(AND(BR26&gt;=Challenges!$K$74,BR26&lt;Challenges!$J$74),BR26+1,BR26)),BR26))</f>
        <v/>
      </c>
      <c r="BT26" s="0" t="str">
        <f aca="false">IF($B26="","",IF(Challenges!$L$75=1,IF($B26=Challenges!$D$75,Challenges!$K$75,IF(AND(BS26&gt;=Challenges!$K$75,BS26&lt;Challenges!$J$75),BS26+1,BS26)),BS26))</f>
        <v/>
      </c>
      <c r="BU26" s="0" t="str">
        <f aca="false">IF($B26="","",IF(Challenges!$L$76=1,IF($B26=Challenges!$D$76,Challenges!$K$76,IF(AND(BT26&gt;=Challenges!$K$76,BT26&lt;Challenges!$J$76),BT26+1,BT26)),BT26))</f>
        <v/>
      </c>
      <c r="BV26" s="0" t="str">
        <f aca="false">IF($B26="","",IF(Challenges!$L$77=1,IF($B26=Challenges!$D$77,Challenges!$K$77,IF(AND(BU26&gt;=Challenges!$K$77,BU26&lt;Challenges!$J$77),BU26+1,BU26)),BU26))</f>
        <v/>
      </c>
      <c r="BW26" s="0" t="str">
        <f aca="false">IF($B26="","",IF(Challenges!$L$78=1,IF($B26=Challenges!$D$78,Challenges!$K$78,IF(AND(BV26&gt;=Challenges!$K$78,BV26&lt;Challenges!$J$78),BV26+1,BV26)),BV26))</f>
        <v/>
      </c>
      <c r="BX26" s="0" t="str">
        <f aca="false">IF($B26="","",IF(Challenges!$L$79=1,IF($B26=Challenges!$D$79,Challenges!$K$79,IF(AND(BW26&gt;=Challenges!$K$79,BW26&lt;Challenges!$J$79),BW26+1,BW26)),BW26))</f>
        <v/>
      </c>
      <c r="BY26" s="0" t="str">
        <f aca="false">IF($B26="","",IF(Challenges!$L$80=1,IF($B26=Challenges!$D$80,Challenges!$K$80,IF(AND(BX26&gt;=Challenges!$K$80,BX26&lt;Challenges!$J$80),BX26+1,BX26)),BX26))</f>
        <v/>
      </c>
      <c r="BZ26" s="0" t="str">
        <f aca="false">IF($B26="","",IF(Challenges!$L$81=1,IF($B26=Challenges!$D$81,Challenges!$K$81,IF(AND(BY26&gt;=Challenges!$K$81,BY26&lt;Challenges!$J$81),BY26+1,BY26)),BY26))</f>
        <v/>
      </c>
      <c r="CA26" s="0" t="str">
        <f aca="false">IF($B26="","",IF(Challenges!$L$82=1,IF($B26=Challenges!$D$82,Challenges!$K$82,IF(AND(BZ26&gt;=Challenges!$K$82,BZ26&lt;Challenges!$J$82),BZ26+1,BZ26)),BZ26))</f>
        <v/>
      </c>
      <c r="CB26" s="0" t="str">
        <f aca="false">IF($B26="","",IF(Challenges!$L$83=1,IF($B26=Challenges!$D$83,Challenges!$K$83,IF(AND(CA26&gt;=Challenges!$K$83,CA26&lt;Challenges!$J$83),CA26+1,CA26)),CA26))</f>
        <v/>
      </c>
      <c r="CC26" s="0" t="str">
        <f aca="false">IF($B26="","",IF(Challenges!$L$84=1,IF($B26=Challenges!$D$84,Challenges!$K$84,IF(AND(CB26&gt;=Challenges!$K$84,CB26&lt;Challenges!$J$84),CB26+1,CB26)),CB26))</f>
        <v/>
      </c>
      <c r="CD26" s="0" t="str">
        <f aca="false">IF($B26="","",IF(Challenges!$L$85=1,IF($B26=Challenges!$D$85,Challenges!$K$85,IF(AND(CC26&gt;=Challenges!$K$85,CC26&lt;Challenges!$J$85),CC26+1,CC26)),CC26))</f>
        <v/>
      </c>
      <c r="CE26" s="0" t="str">
        <f aca="false">IF($B26="","",IF(Challenges!$L$86=1,IF($B26=Challenges!$D$86,Challenges!$K$86,IF(AND(CD26&gt;=Challenges!$K$86,CD26&lt;Challenges!$J$86),CD26+1,CD26)),CD26))</f>
        <v/>
      </c>
      <c r="CF26" s="0" t="str">
        <f aca="false">IF($B26="","",IF(Challenges!$L$87=1,IF($B26=Challenges!$D$87,Challenges!$K$87,IF(AND(CE26&gt;=Challenges!$K$87,CE26&lt;Challenges!$J$87),CE26+1,CE26)),CE26))</f>
        <v/>
      </c>
      <c r="CG26" s="0" t="str">
        <f aca="false">IF($B26="","",IF(Challenges!$L$88=1,IF($B26=Challenges!$D$88,Challenges!$K$88,IF(AND(CF26&gt;=Challenges!$K$88,CF26&lt;Challenges!$J$88),CF26+1,CF26)),CF26))</f>
        <v/>
      </c>
      <c r="CH26" s="0" t="str">
        <f aca="false">IF($B26="","",IF(Challenges!$L$89=1,IF($B26=Challenges!$D$89,Challenges!$K$89,IF(AND(CG26&gt;=Challenges!$K$89,CG26&lt;Challenges!$J$89),CG26+1,CG26)),CG26))</f>
        <v/>
      </c>
      <c r="CI26" s="0" t="str">
        <f aca="false">IF($B26="","",IF(Challenges!$L$90=1,IF($B26=Challenges!$D$90,Challenges!$K$90,IF(AND(CH26&gt;=Challenges!$K$90,CH26&lt;Challenges!$J$90),CH26+1,CH26)),CH26))</f>
        <v/>
      </c>
      <c r="CJ26" s="0" t="str">
        <f aca="false">IF($B26="","",IF(Challenges!$L$91=1,IF($B26=Challenges!$D$91,Challenges!$K$91,IF(AND(CI26&gt;=Challenges!$K$91,CI26&lt;Challenges!$J$91),CI26+1,CI26)),CI26))</f>
        <v/>
      </c>
      <c r="CK26" s="0" t="str">
        <f aca="false">IF($B26="","",IF(Challenges!$L$92=1,IF($B26=Challenges!$D$92,Challenges!$K$92,IF(AND(CJ26&gt;=Challenges!$K$92,CJ26&lt;Challenges!$J$92),CJ26+1,CJ26)),CJ26))</f>
        <v/>
      </c>
      <c r="CL26" s="0" t="str">
        <f aca="false">IF($B26="","",IF(Challenges!$L$93=1,IF($B26=Challenges!$D$93,Challenges!$K$93,IF(AND(CK26&gt;=Challenges!$K$93,CK26&lt;Challenges!$J$93),CK26+1,CK26)),CK26))</f>
        <v/>
      </c>
      <c r="CM26" s="0" t="str">
        <f aca="false">IF($B26="","",IF(Challenges!$L$94=1,IF($B26=Challenges!$D$94,Challenges!$K$94,IF(AND(CL26&gt;=Challenges!$K$94,CL26&lt;Challenges!$J$94),CL26+1,CL26)),CL26))</f>
        <v/>
      </c>
      <c r="CN26" s="0" t="str">
        <f aca="false">IF($B26="","",IF(Challenges!$L$95=1,IF($B26=Challenges!$D$95,Challenges!$K$95,IF(AND(CM26&gt;=Challenges!$K$95,CM26&lt;Challenges!$J$95),CM26+1,CM26)),CM26))</f>
        <v/>
      </c>
      <c r="CO26" s="0" t="str">
        <f aca="false">IF($B26="","",IF(Challenges!$L$96=1,IF($B26=Challenges!$D$96,Challenges!$K$96,IF(AND(CN26&gt;=Challenges!$K$96,CN26&lt;Challenges!$J$96),CN26+1,CN26)),CN26))</f>
        <v/>
      </c>
      <c r="CP26" s="0" t="str">
        <f aca="false">IF($B26="","",IF(Challenges!$L$97=1,IF($B26=Challenges!$D$97,Challenges!$K$97,IF(AND(CO26&gt;=Challenges!$K$97,CO26&lt;Challenges!$J$97),CO26+1,CO26)),CO26))</f>
        <v/>
      </c>
      <c r="CQ26" s="0" t="str">
        <f aca="false">IF($B26="","",IF(Challenges!$L$98=1,IF($B26=Challenges!$D$98,Challenges!$K$98,IF(AND(CP26&gt;=Challenges!$K$98,CP26&lt;Challenges!$J$98),CP26+1,CP26)),CP26))</f>
        <v/>
      </c>
      <c r="CR26" s="0" t="str">
        <f aca="false">IF($B26="","",IF(Challenges!$L$99=1,IF($B26=Challenges!$D$99,Challenges!$K$99,IF(AND(CQ26&gt;=Challenges!$K$99,CQ26&lt;Challenges!$J$99),CQ26+1,CQ26)),CQ26))</f>
        <v/>
      </c>
      <c r="CS26" s="0" t="str">
        <f aca="false">IF($B26="","",IF(Challenges!$L$100=1,IF($B26=Challenges!$D$100,Challenges!$K$100,IF(AND(CR26&gt;=Challenges!$K$100,CR26&lt;Challenges!$J$100),CR26+1,CR26)),CR26))</f>
        <v/>
      </c>
      <c r="CT26" s="0" t="str">
        <f aca="false">IF($B26="","",IF(Challenges!$L$101=1,IF($B26=Challenges!$D$101,Challenges!$K$101,IF(AND(CS26&gt;=Challenges!$K$101,CS26&lt;Challenges!$J$101),CS26+1,CS26)),CS26))</f>
        <v/>
      </c>
      <c r="CU26" s="0" t="str">
        <f aca="false">IF($B26="","",IF(Challenges!$L$102=1,IF($B26=Challenges!$D$102,Challenges!$K$102,IF(AND(CT26&gt;=Challenges!$K$102,CT26&lt;Challenges!$J$102),CT26+1,CT26)),CT26))</f>
        <v/>
      </c>
      <c r="CV26" s="0" t="str">
        <f aca="false">IF($B26="","",IF(Challenges!$L$103=1,IF($B26=Challenges!$D$103,Challenges!$K$103,IF(AND(CU26&gt;=Challenges!$K$103,CU26&lt;Challenges!$J$103),CU26+1,CU26)),CU26))</f>
        <v/>
      </c>
      <c r="CW26" s="0" t="str">
        <f aca="false">IF($B26="","",IF(Challenges!$L$104=1,IF($B26=Challenges!$D$104,Challenges!$K$104,IF(AND(CV26&gt;=Challenges!$K$104,CV26&lt;Challenges!$J$104),CV26+1,CV26)),CV26))</f>
        <v/>
      </c>
      <c r="CX26" s="0" t="str">
        <f aca="false">IF($B26="","",IF(Challenges!$L$105=1,IF($B26=Challenges!$D$105,Challenges!$K$105,IF(AND(CW26&gt;=Challenges!$K$105,CW26&lt;Challenges!$J$105),CW26+1,CW26)),CW26))</f>
        <v/>
      </c>
      <c r="CY26" s="0" t="str">
        <f aca="false">IF($B26="","",IF(Challenges!$L$106=1,IF($B26=Challenges!$D$106,Challenges!$K$106,IF(AND(CX26&gt;=Challenges!$K$106,CX26&lt;Challenges!$J$106),CX26+1,CX26)),CX26))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2026-10-26T18:28:57Z</dcterms:created>
  <dc:creator>openpyxl</dc:creator>
  <dc:description/>
  <dc:language>en-US</dc:language>
  <cp:lastModifiedBy/>
  <dcterms:modified xsi:type="dcterms:W3CDTF">2026-10-26T18:28:58Z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