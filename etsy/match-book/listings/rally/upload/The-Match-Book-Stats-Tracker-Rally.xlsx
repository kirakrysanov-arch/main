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Match Log" sheetId="3" state="visible" r:id="rId5"/>
    <sheet name="Opponents" sheetId="4" state="visible" r:id="rId6"/>
    <sheet name="Season Pla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<sst xmlns="http://schemas.openxmlformats.org/spreadsheetml/2006/main" count="226" uniqueCount="151">
  <si>
    <t xml:space="preserve">The Match Book</t>
  </si>
  <si>
    <t xml:space="preserve">TENNIS STATS TRACKER · START HERE</t>
  </si>
  <si>
    <t xml:space="preserve">How it works</t>
  </si>
  <si>
    <t xml:space="preserve">Log every match on the Match Log tab. The Dashboard, Opponents and monthly charts update by themselves.</t>
  </si>
  <si>
    <t xml:space="preserve">Cream cells</t>
  </si>
  <si>
    <t xml:space="preserve">These are yours to fill in. Type or pick from the drop-down lists.</t>
  </si>
  <si>
    <t xml:space="preserve">Beige cells</t>
  </si>
  <si>
    <t xml:space="preserve">These calculate automatically. Please don't type over them.</t>
  </si>
  <si>
    <t xml:space="preserve">Sample data</t>
  </si>
  <si>
    <t xml:space="preserve">Rows 6–21 of the Match Log hold 16 sample matches so you can see the dashboard working. Select the cream cells in those rows and press Delete to clear them before you start.</t>
  </si>
  <si>
    <t xml:space="preserve">During a match</t>
  </si>
  <si>
    <t xml:space="preserve">Ask a parent, coach or friend to keep a simple tally on paper or a scoring app, then copy the totals onto your Match Review page in the journal and into this log.</t>
  </si>
  <si>
    <t xml:space="preserve">What to count</t>
  </si>
  <si>
    <t xml:space="preserve">1st serves in / attempted, points won on 1st and 2nd serve, break points won / chances, winners, unforced errors and net points won / played. Leave anything you didn't track blank.</t>
  </si>
  <si>
    <t xml:space="preserve">Google Sheets</t>
  </si>
  <si>
    <t xml:space="preserve">Upload this file to Google Drive, then open it with Google Sheets (File › Save as Google Sheets). Everything works in Excel, Numbers and Google Sheets.</t>
  </si>
  <si>
    <t xml:space="preserve">Opponents tab</t>
  </si>
  <si>
    <t xml:space="preserve">Type each opponent's name once (exactly as on the Match Log) to see your head-to-head record.</t>
  </si>
  <si>
    <t xml:space="preserve">Season Plan tab</t>
  </si>
  <si>
    <t xml:space="preserve">List upcoming tournaments and entry deadlines. Days to go counts down automatically.</t>
  </si>
  <si>
    <t xml:space="preserve">For personal use only. Thank you for supporting a small studio.</t>
  </si>
  <si>
    <t xml:space="preserve">Season Dashboard</t>
  </si>
  <si>
    <t xml:space="preserve">UPDATES AUTOMATICALLY FROM THE MATCH LOG</t>
  </si>
  <si>
    <t xml:space="preserve">MATCHES PLAYED</t>
  </si>
  <si>
    <t xml:space="preserve">WINS</t>
  </si>
  <si>
    <t xml:space="preserve">LOSSES</t>
  </si>
  <si>
    <t xml:space="preserve">WIN RATE</t>
  </si>
  <si>
    <t xml:space="preserve">SETS WON</t>
  </si>
  <si>
    <t xml:space="preserve">SETS LOST</t>
  </si>
  <si>
    <t xml:space="preserve">1ST SERVE IN</t>
  </si>
  <si>
    <t xml:space="preserve">1ST SERVE PTS WON</t>
  </si>
  <si>
    <t xml:space="preserve">2ND SERVE PTS WON</t>
  </si>
  <si>
    <t xml:space="preserve">BREAK PT CONVERSION</t>
  </si>
  <si>
    <t xml:space="preserve">NET PTS WON</t>
  </si>
  <si>
    <t xml:space="preserve">WINNERS ÷ ERRORS</t>
  </si>
  <si>
    <t xml:space="preserve">ACES PER MATCH</t>
  </si>
  <si>
    <t xml:space="preserve">DOUBLE FAULTS PER MATCH</t>
  </si>
  <si>
    <t xml:space="preserve">UNFORCED ERRORS PER MATCH</t>
  </si>
  <si>
    <t xml:space="preserve">BY SURFACE</t>
  </si>
  <si>
    <t xml:space="preserve">Surface</t>
  </si>
  <si>
    <t xml:space="preserve">Played</t>
  </si>
  <si>
    <t xml:space="preserve">Won</t>
  </si>
  <si>
    <t xml:space="preserve">Win rate</t>
  </si>
  <si>
    <t xml:space="preserve">1st serve in</t>
  </si>
  <si>
    <t xml:space="preserve">BP conversion</t>
  </si>
  <si>
    <t xml:space="preserve">Hard</t>
  </si>
  <si>
    <t xml:space="preserve">Clay</t>
  </si>
  <si>
    <t xml:space="preserve">Grass</t>
  </si>
  <si>
    <t xml:space="preserve">Indoor</t>
  </si>
  <si>
    <t xml:space="preserve">BY MONTH</t>
  </si>
  <si>
    <t xml:space="preserve">Month</t>
  </si>
  <si>
    <t xml:space="preserve">Wins</t>
  </si>
  <si>
    <t xml:space="preserve">Losses</t>
  </si>
  <si>
    <t xml:space="preserve">Avg winners</t>
  </si>
  <si>
    <t xml:space="preserve">Avg errors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</si>
  <si>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</si>
  <si>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</si>
  <si>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</si>
  <si>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</si>
  <si>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</si>
  <si>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</si>
  <si>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</si>
  <si>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</si>
  <si>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</si>
  <si>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</si>
  <si>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</si>
  <si>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</si>
  <si>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Match Log</t>
  </si>
  <si>
    <t xml:space="preserve">ONE ROW PER MATCH · CREAM CELLS ARE YOURS TO FILL IN</t>
  </si>
  <si>
    <t xml:space="preserve">Date</t>
  </si>
  <si>
    <t xml:space="preserve">Event</t>
  </si>
  <si>
    <t xml:space="preserve">Round</t>
  </si>
  <si>
    <t xml:space="preserve">Opponent</t>
  </si>
  <si>
    <t xml:space="preserve">Result
(W / L)</t>
  </si>
  <si>
    <t xml:space="preserve">Score</t>
  </si>
  <si>
    <t xml:space="preserve">Sets
won</t>
  </si>
  <si>
    <t xml:space="preserve">Sets
lost</t>
  </si>
  <si>
    <t xml:space="preserve">Aces</t>
  </si>
  <si>
    <t xml:space="preserve">Double
faults</t>
  </si>
  <si>
    <t xml:space="preserve">1st serves
in</t>
  </si>
  <si>
    <t xml:space="preserve">1st serves
attempted</t>
  </si>
  <si>
    <t xml:space="preserve">1st serve
pts won</t>
  </si>
  <si>
    <t xml:space="preserve">2nd serve
pts won</t>
  </si>
  <si>
    <t xml:space="preserve">2nd serve
pts played</t>
  </si>
  <si>
    <t xml:space="preserve">Break pts
won</t>
  </si>
  <si>
    <t xml:space="preserve">Break pt
chances</t>
  </si>
  <si>
    <t xml:space="preserve">Winners</t>
  </si>
  <si>
    <t xml:space="preserve">Unforced
errors</t>
  </si>
  <si>
    <t xml:space="preserve">Net pts
won</t>
  </si>
  <si>
    <t xml:space="preserve">Net pts
played</t>
  </si>
  <si>
    <t xml:space="preserve">1st serve
%</t>
  </si>
  <si>
    <t xml:space="preserve">1st serve
pts won %</t>
  </si>
  <si>
    <t xml:space="preserve">2nd serve
pts won %</t>
  </si>
  <si>
    <t xml:space="preserve">Break pt
conversion</t>
  </si>
  <si>
    <t xml:space="preserve">Winners −
errors</t>
  </si>
  <si>
    <t xml:space="preserve">Net pts
won %</t>
  </si>
  <si>
    <t xml:space="preserve">Spring Open</t>
  </si>
  <si>
    <t xml:space="preserve">R1</t>
  </si>
  <si>
    <t xml:space="preserve">J. Carter</t>
  </si>
  <si>
    <t xml:space="preserve">W</t>
  </si>
  <si>
    <t xml:space="preserve">6-3 6-4</t>
  </si>
  <si>
    <t xml:space="preserve">R2</t>
  </si>
  <si>
    <t xml:space="preserve">M. Alvarez</t>
  </si>
  <si>
    <t xml:space="preserve">L</t>
  </si>
  <si>
    <t xml:space="preserve">4-6 6-7</t>
  </si>
  <si>
    <t xml:space="preserve">Club League</t>
  </si>
  <si>
    <t xml:space="preserve">RR</t>
  </si>
  <si>
    <t xml:space="preserve">S. Patel</t>
  </si>
  <si>
    <t xml:space="preserve">6-2 6-1</t>
  </si>
  <si>
    <t xml:space="preserve">Clay Classic</t>
  </si>
  <si>
    <t xml:space="preserve">L. Novak</t>
  </si>
  <si>
    <t xml:space="preserve">7-5 3-6 6-4</t>
  </si>
  <si>
    <t xml:space="preserve">QF</t>
  </si>
  <si>
    <t xml:space="preserve">R. Moreau</t>
  </si>
  <si>
    <t xml:space="preserve">2-6 5-7</t>
  </si>
  <si>
    <t xml:space="preserve">6-4 6-4</t>
  </si>
  <si>
    <t xml:space="preserve">County Champs</t>
  </si>
  <si>
    <t xml:space="preserve">D. Okafor</t>
  </si>
  <si>
    <t xml:space="preserve">6-1 6-3</t>
  </si>
  <si>
    <t xml:space="preserve">6-7 6-4 7-6</t>
  </si>
  <si>
    <t xml:space="preserve">SF</t>
  </si>
  <si>
    <t xml:space="preserve">A. Lindqvist</t>
  </si>
  <si>
    <t xml:space="preserve">3-6 4-6</t>
  </si>
  <si>
    <t xml:space="preserve">Grass Invitational</t>
  </si>
  <si>
    <t xml:space="preserve">T. Becker</t>
  </si>
  <si>
    <t xml:space="preserve">7-6 6-4</t>
  </si>
  <si>
    <t xml:space="preserve">6-3 7-5</t>
  </si>
  <si>
    <t xml:space="preserve">6-7 4-6</t>
  </si>
  <si>
    <t xml:space="preserve">Summer Series</t>
  </si>
  <si>
    <t xml:space="preserve">6-2 6-2</t>
  </si>
  <si>
    <t xml:space="preserve">4-6 6-3 6-3</t>
  </si>
  <si>
    <t xml:space="preserve">Club Championship</t>
  </si>
  <si>
    <t xml:space="preserve">6-4 6-2</t>
  </si>
  <si>
    <t xml:space="preserve">F</t>
  </si>
  <si>
    <t xml:space="preserve">7-5 6-4</t>
  </si>
  <si>
    <t xml:space="preserve">Head to Head</t>
  </si>
  <si>
    <t xml:space="preserve">TYPE EACH OPPONENT ONCE, SPELLED EXACTLY AS IN THE MATCH LOG</t>
  </si>
  <si>
    <t xml:space="preserve">Lost</t>
  </si>
  <si>
    <t xml:space="preserve">Last played</t>
  </si>
  <si>
    <t xml:space="preserve">Season Plan</t>
  </si>
  <si>
    <t xml:space="preserve">UPCOMING TOURNAMENTS AND DEADLINES</t>
  </si>
  <si>
    <t xml:space="preserve">Start date</t>
  </si>
  <si>
    <t xml:space="preserve">Tournament / league</t>
  </si>
  <si>
    <t xml:space="preserve">Location</t>
  </si>
  <si>
    <t xml:space="preserve">Entry deadline</t>
  </si>
  <si>
    <t xml:space="preserve">Entered?</t>
  </si>
  <si>
    <t xml:space="preserve">Days to go</t>
  </si>
  <si>
    <t xml:space="preserve">Goal</t>
  </si>
  <si>
    <t xml:space="preserve">City Tennis Centre</t>
  </si>
  <si>
    <t xml:space="preserve">Yes</t>
  </si>
  <si>
    <t xml:space="preserve">Reach the quarter-finals</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</si>
</sst>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
    <numFmt numFmtId="169" formatCode="General"/>
    <numFmt numFmtId="170" formatCode="d\ mmm\ yyyy"/>
    <numFmt numFmtId="171" formatCode="\+0;\-0;0"/>
  </numFmts>
  <fonts count="15">
    <font>
      <sz val="11"/>
      <color theme="1"/>
      <name val="Calibri"/>
      <family val="2"/>
      <charset val="1"/>
    </font>
    <font>
      <sz val="10"/>
      <name val="Arial"/>
      <family val="0"/>
    </font>
    <font>
      <sz val="10"/>
      <name val="Arial"/>
      <family val="0"/>
    </font>
    <font>
      <sz val="10"/>
      <name val="Arial"/>
      <family val="0"/>
    </font>
    <font>
      <sz val="22"/>
      <color rgb="FF111111"/>
      <name val="Arial Black"/>
      <family val="0"/>
      <charset val="1"/>
    </font>
    <font>
      <b val="true"/>
      <sz val="9"/>
      <color rgb="FF111111"/>
      <name val="Arial"/>
      <family val="0"/>
      <charset val="1"/>
    </font>
    <font>
      <sz val="12"/>
      <color rgb="FF111111"/>
      <name val="Arial Black"/>
      <family val="0"/>
      <charset val="1"/>
    </font>
    <font>
      <sz val="10"/>
      <color rgb="FF111111"/>
      <name val="Arial"/>
      <family val="0"/>
      <charset val="1"/>
    </font>
    <font>
      <i val="true"/>
      <sz val="9"/>
      <color rgb="FF8C8C8C"/>
      <name val="Arial"/>
      <family val="0"/>
      <charset val="1"/>
    </font>
    <font>
      <b val="true"/>
      <sz val="8"/>
      <color rgb="FF111111"/>
      <name val="Arial"/>
      <family val="0"/>
      <charset val="1"/>
    </font>
    <font>
      <sz val="24"/>
      <color rgb="FF111111"/>
      <name val="Arial Black"/>
      <family val="0"/>
      <charset val="1"/>
    </font>
    <font>
      <b val="true"/>
      <sz val="9"/>
      <color rgb="FFD7F04A"/>
      <name val="Arial"/>
      <family val="0"/>
      <charset val="1"/>
    </font>
    <font>
      <b val="true"/>
      <sz val="18"/>
      <color rgb="FF000000"/>
      <name val="Calibri"/>
      <family val="2"/>
    </font>
    <font>
      <sz val="10"/>
      <color rgb="FF000000"/>
      <name val="Calibri"/>
      <family val="2"/>
    </font>
    <font>
      <b val="true"/>
      <sz val="10"/>
      <color rgb="FF111111"/>
      <name val="Arial"/>
      <family val="0"/>
      <charset val="1"/>
    </font>
  </fonts>
  <fills count="5">
    <fill>
      <patternFill patternType="none"/>
    </fill>
    <fill>
      <patternFill patternType="gray125"/>
    </fill>
    <fill>
      <patternFill patternType="solid">
        <fgColor rgb="FFFFFFFF"/>
        <bgColor rgb="FFF1F5D2"/>
      </patternFill>
    </fill>
    <fill>
      <patternFill patternType="solid">
        <fgColor rgb="FFF1F5D2"/>
        <bgColor rgb="FFFFFFFF"/>
      </patternFill>
    </fill>
    <fill>
      <patternFill patternType="solid">
        <fgColor rgb="FF111111"/>
        <bgColor rgb="FF000000"/>
      </patternFill>
    </fill>
  </fills>
  <borders count="4">
    <border diagonalUp="false" diagonalDown="false">
      <left/>
      <right/>
      <top/>
      <bottom/>
      <diagonal/>
    </border>
    <border diagonalUp="false" diagonalDown="false">
      <left/>
      <right/>
      <top/>
      <bottom style="medium">
        <color rgb="FF111111"/>
      </bottom>
      <diagonal/>
    </border>
    <border diagonalUp="false" diagonalDown="false">
      <left/>
      <right/>
      <top/>
      <bottom style="thin">
        <color rgb="FFD6D6D6"/>
      </bottom>
      <diagonal/>
    </border>
    <border diagonalUp="false" diagonalDown="false">
      <left style="thin">
        <color rgb="FFD6D6D6"/>
      </left>
      <right style="thin">
        <color rgb="FFD6D6D6"/>
      </right>
      <top style="thin">
        <color rgb="FFD6D6D6"/>
      </top>
      <bottom style="thin">
        <color rgb="FFD6D6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left" vertical="bottom" textRotation="0" wrapText="false" indent="0" shrinkToFit="false"/>
      <protection locked="true" hidden="false"/>
    </xf>
    <xf numFmtId="166" fontId="10" fillId="0" borderId="2" xfId="0" applyFont="true" applyBorder="true" applyAlignment="true" applyProtection="false">
      <alignment horizontal="left" vertical="bottom" textRotation="0" wrapText="false" indent="0" shrinkToFit="false"/>
      <protection locked="true" hidden="false"/>
    </xf>
    <xf numFmtId="167" fontId="10" fillId="0" borderId="2" xfId="0" applyFont="true" applyBorder="true" applyAlignment="true" applyProtection="false">
      <alignment horizontal="left" vertical="bottom" textRotation="0" wrapText="false" indent="0" shrinkToFit="false"/>
      <protection locked="true" hidden="false"/>
    </xf>
    <xf numFmtId="168" fontId="10" fillId="0" borderId="2" xfId="0" applyFont="true" applyBorder="true" applyAlignment="true" applyProtection="false">
      <alignment horizontal="left" vertical="bottom" textRotation="0" wrapText="fals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left" vertical="bottom" textRotation="0" wrapText="false" indent="0" shrinkToFit="false"/>
      <protection locked="true" hidden="false"/>
    </xf>
    <xf numFmtId="169" fontId="7" fillId="3" borderId="3" xfId="0" applyFont="true" applyBorder="true" applyAlignment="true" applyProtection="false">
      <alignment horizontal="center" vertical="bottom" textRotation="0" wrapText="false" indent="0" shrinkToFit="false"/>
      <protection locked="true" hidden="false"/>
    </xf>
    <xf numFmtId="166" fontId="7" fillId="3" borderId="3" xfId="0" applyFont="true" applyBorder="true" applyAlignment="true" applyProtection="false">
      <alignment horizontal="center" vertical="bottom" textRotation="0" wrapText="false" indent="0" shrinkToFit="false"/>
      <protection locked="true" hidden="false"/>
    </xf>
    <xf numFmtId="168" fontId="7"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6" fontId="14" fillId="3" borderId="3" xfId="0" applyFont="true" applyBorder="true" applyAlignment="true" applyProtection="false">
      <alignment horizontal="center" vertical="bottom" textRotation="0" wrapText="false" indent="0" shrinkToFit="false"/>
      <protection locked="true" hidden="false"/>
    </xf>
    <xf numFmtId="171" fontId="14" fillId="3" borderId="3" xfId="0" applyFont="true" applyBorder="true" applyAlignment="true" applyProtection="false">
      <alignment horizontal="center" vertical="bottom" textRotation="0" wrapText="false" indent="0" shrinkToFit="false"/>
      <protection locked="true" hidden="false"/>
    </xf>
    <xf numFmtId="165" fontId="14" fillId="3"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9" fontId="14" fillId="3" borderId="3" xfId="0" applyFont="true" applyBorder="true" applyAlignment="true" applyProtection="false">
      <alignment horizontal="center" vertical="bottom" textRotation="0" wrapText="false" indent="0" shrinkToFit="false"/>
      <protection locked="true" hidden="false"/>
    </xf>
    <xf numFmtId="170" fontId="14"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C9C1A8"/>
      </font>
    </dxf>
    <dxf>
      <font>
        <b val="1"/>
        <color rgb="FF2D6A3E"/>
      </font>
    </dxf>
    <dxf>
      <font>
        <b val="1"/>
        <color rgb="FF9A3B2E"/>
      </font>
    </dxf>
  </dxfs>
  <colors>
    <indexedColors>
      <rgbColor rgb="FF000000"/>
      <rgbColor rgb="FFFFFFFF"/>
      <rgbColor rgb="FFFF0000"/>
      <rgbColor rgb="FF00FF00"/>
      <rgbColor rgb="FF0000FF"/>
      <rgbColor rgb="FFD7F04A"/>
      <rgbColor rgb="FFFF00FF"/>
      <rgbColor rgb="FF00FFFF"/>
      <rgbColor rgb="FF800000"/>
      <rgbColor rgb="FF2D6A3E"/>
      <rgbColor rgb="FF000080"/>
      <rgbColor rgb="FF808000"/>
      <rgbColor rgb="FF800080"/>
      <rgbColor rgb="FF008080"/>
      <rgbColor rgb="FFBDBDBD"/>
      <rgbColor rgb="FF878787"/>
      <rgbColor rgb="FF9999FF"/>
      <rgbColor rgb="FF993366"/>
      <rgbColor rgb="FFF1F5D2"/>
      <rgbColor rgb="FFCCFFFF"/>
      <rgbColor rgb="FF660066"/>
      <rgbColor rgb="FFFF8080"/>
      <rgbColor rgb="FF0066CC"/>
      <rgbColor rgb="FFD6D6D6"/>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C9C1A8"/>
      <rgbColor rgb="FF3366FF"/>
      <rgbColor rgb="FF33CCCC"/>
      <rgbColor rgb="FFA8BF1F"/>
      <rgbColor rgb="FFFFCC00"/>
      <rgbColor rgb="FFFF9900"/>
      <rgbColor rgb="FFFF6600"/>
      <rgbColor rgb="FF666699"/>
      <rgbColor rgb="FF8C8C8C"/>
      <rgbColor rgb="FF003366"/>
      <rgbColor rgb="FF339966"/>
      <rgbColor rgb="FF111111"/>
      <rgbColor rgb="FF333300"/>
      <rgbColor rgb="FF9A3B2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Wins and losses by month</a:t>
            </a:r>
          </a:p>
        </c:rich>
      </c:tx>
      <c:overlay val="0"/>
      <c:spPr>
        <a:noFill/>
        <a:ln w="0">
          <a:noFill/>
        </a:ln>
      </c:spPr>
    </c:title>
    <c:autoTitleDeleted val="0"/>
    <c:plotArea>
      <c:barChart>
        <c:barDir val="col"/>
        <c:grouping val="stacked"/>
        <c:varyColors val="0"/>
        <c:ser>
          <c:idx val="0"/>
          <c:order val="0"/>
          <c:tx>
            <c:strRef>
              <c:f>Dashboard!C29</c:f>
              <c:strCache>
                <c:ptCount val="1"/>
                <c:pt idx="0">
                  <c:v>Wins</c:v>
                </c:pt>
              </c:strCache>
            </c:strRef>
          </c:tx>
          <c:spPr>
            <a:solidFill>
              <a:srgbClr val="111111"/>
            </a:solidFill>
            <a:ln w="0">
              <a:solidFill>
                <a:srgbClr val="1111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Dashboard!$C$30:$C$41</c:f>
              <c:numCache>
                <c:formatCode>General</c:formatCode>
                <c:ptCount val="12"/>
                <c:pt idx="0">
                  <c:v>0</c:v>
                </c:pt>
                <c:pt idx="1">
                  <c:v>0</c:v>
                </c:pt>
                <c:pt idx="2">
                  <c:v>2</c:v>
                </c:pt>
                <c:pt idx="3">
                  <c:v>2</c:v>
                </c:pt>
                <c:pt idx="4">
                  <c:v>2</c:v>
                </c:pt>
                <c:pt idx="5">
                  <c:v>2</c:v>
                </c:pt>
                <c:pt idx="6">
                  <c:v>1</c:v>
                </c:pt>
                <c:pt idx="7">
                  <c:v>1</c:v>
                </c:pt>
                <c:pt idx="8">
                  <c:v>1</c:v>
                </c:pt>
                <c:pt idx="9">
                  <c:v>1</c:v>
                </c:pt>
                <c:pt idx="10">
                  <c:v>0</c:v>
                </c:pt>
                <c:pt idx="11">
                  <c:v>0</c:v>
                </c:pt>
              </c:numCache>
            </c:numRef>
          </c:val>
        </c:ser>
        <c:ser>
          <c:idx val="1"/>
          <c:order val="1"/>
          <c:tx>
            <c:strRef>
              <c:f>Dashboard!E29</c:f>
              <c:strCache>
                <c:ptCount val="1"/>
                <c:pt idx="0">
                  <c:v>Losses</c:v>
                </c:pt>
              </c:strCache>
            </c:strRef>
          </c:tx>
          <c:spPr>
            <a:solidFill>
              <a:srgbClr val="bdbdbd"/>
            </a:solidFill>
            <a:ln w="0">
              <a:solidFill>
                <a:srgbClr val="bdbdbd"/>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Dashboard!$E$30:$E$41</c:f>
              <c:numCache>
                <c:formatCode>General</c:formatCode>
                <c:ptCount val="12"/>
                <c:pt idx="0">
                  <c:v>0</c:v>
                </c:pt>
                <c:pt idx="1">
                  <c:v>0</c:v>
                </c:pt>
                <c:pt idx="2">
                  <c:v>1</c:v>
                </c:pt>
                <c:pt idx="3">
                  <c:v>1</c:v>
                </c:pt>
                <c:pt idx="4">
                  <c:v>1</c:v>
                </c:pt>
                <c:pt idx="5">
                  <c:v>1</c:v>
                </c:pt>
                <c:pt idx="6">
                  <c:v>0</c:v>
                </c:pt>
                <c:pt idx="7">
                  <c:v>0</c:v>
                </c:pt>
                <c:pt idx="8">
                  <c:v>0</c:v>
                </c:pt>
                <c:pt idx="9">
                  <c:v>0</c:v>
                </c:pt>
                <c:pt idx="10">
                  <c:v>0</c:v>
                </c:pt>
                <c:pt idx="11">
                  <c:v>0</c:v>
                </c:pt>
              </c:numCache>
            </c:numRef>
          </c:val>
        </c:ser>
        <c:gapWidth val="150"/>
        <c:overlap val="100"/>
        <c:axId val="77153804"/>
        <c:axId val="80996819"/>
      </c:barChart>
      <c:catAx>
        <c:axId val="771538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996819"/>
        <c:crosses val="autoZero"/>
        <c:auto val="1"/>
        <c:lblAlgn val="ctr"/>
        <c:lblOffset val="100"/>
        <c:noMultiLvlLbl val="0"/>
      </c:catAx>
      <c:valAx>
        <c:axId val="8099681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1538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Winners vs unforced errors</a:t>
            </a:r>
          </a:p>
        </c:rich>
      </c:tx>
      <c:overlay val="0"/>
      <c:spPr>
        <a:noFill/>
        <a:ln w="0">
          <a:noFill/>
        </a:ln>
      </c:spPr>
    </c:title>
    <c:autoTitleDeleted val="0"/>
    <c:plotArea>
      <c:barChart>
        <c:barDir val="col"/>
        <c:grouping val="clustered"/>
        <c:varyColors val="0"/>
        <c:ser>
          <c:idx val="0"/>
          <c:order val="0"/>
          <c:tx>
            <c:strRef>
              <c:f>Dashboard!F29</c:f>
              <c:strCache>
                <c:ptCount val="1"/>
                <c:pt idx="0">
                  <c:v>Avg winners</c:v>
                </c:pt>
              </c:strCache>
            </c:strRef>
          </c:tx>
          <c:spPr>
            <a:solidFill>
              <a:srgbClr val="111111"/>
            </a:solidFill>
            <a:ln w="0">
              <a:solidFill>
                <a:srgbClr val="1111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Dashboard!$F$30:$F$41</c:f>
              <c:numCache>
                <c:formatCode>0.0</c:formatCode>
                <c:ptCount val="12"/>
                <c:pt idx="0">
                  <c:v>0</c:v>
                </c:pt>
                <c:pt idx="1">
                  <c:v>0</c:v>
                </c:pt>
                <c:pt idx="2">
                  <c:v>17.3333333333333</c:v>
                </c:pt>
                <c:pt idx="3">
                  <c:v>17.3333333333333</c:v>
                </c:pt>
                <c:pt idx="4">
                  <c:v>18.6666666666667</c:v>
                </c:pt>
                <c:pt idx="5">
                  <c:v>24</c:v>
                </c:pt>
                <c:pt idx="6">
                  <c:v>21</c:v>
                </c:pt>
                <c:pt idx="7">
                  <c:v>25</c:v>
                </c:pt>
                <c:pt idx="8">
                  <c:v>22</c:v>
                </c:pt>
                <c:pt idx="9">
                  <c:v>24</c:v>
                </c:pt>
                <c:pt idx="10">
                  <c:v>0</c:v>
                </c:pt>
                <c:pt idx="11">
                  <c:v>0</c:v>
                </c:pt>
              </c:numCache>
            </c:numRef>
          </c:val>
        </c:ser>
        <c:ser>
          <c:idx val="1"/>
          <c:order val="1"/>
          <c:tx>
            <c:strRef>
              <c:f>Dashboard!H29</c:f>
              <c:strCache>
                <c:ptCount val="1"/>
                <c:pt idx="0">
                  <c:v>Avg errors</c:v>
                </c:pt>
              </c:strCache>
            </c:strRef>
          </c:tx>
          <c:spPr>
            <a:solidFill>
              <a:srgbClr val="a8bf1f"/>
            </a:solidFill>
            <a:ln w="0">
              <a:solidFill>
                <a:srgbClr val="a8bf1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Dashboard!$H$30:$H$41</c:f>
              <c:numCache>
                <c:formatCode>0.0</c:formatCode>
                <c:ptCount val="12"/>
                <c:pt idx="0">
                  <c:v>0</c:v>
                </c:pt>
                <c:pt idx="1">
                  <c:v>0</c:v>
                </c:pt>
                <c:pt idx="2">
                  <c:v>21.3333333333333</c:v>
                </c:pt>
                <c:pt idx="3">
                  <c:v>28</c:v>
                </c:pt>
                <c:pt idx="4">
                  <c:v>23.6666666666667</c:v>
                </c:pt>
                <c:pt idx="5">
                  <c:v>18.6666666666667</c:v>
                </c:pt>
                <c:pt idx="6">
                  <c:v>12</c:v>
                </c:pt>
                <c:pt idx="7">
                  <c:v>24</c:v>
                </c:pt>
                <c:pt idx="8">
                  <c:v>15</c:v>
                </c:pt>
                <c:pt idx="9">
                  <c:v>19</c:v>
                </c:pt>
                <c:pt idx="10">
                  <c:v>0</c:v>
                </c:pt>
                <c:pt idx="11">
                  <c:v>0</c:v>
                </c:pt>
              </c:numCache>
            </c:numRef>
          </c:val>
        </c:ser>
        <c:gapWidth val="150"/>
        <c:overlap val="0"/>
        <c:axId val="7784458"/>
        <c:axId val="61319436"/>
      </c:barChart>
      <c:catAx>
        <c:axId val="77844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319436"/>
        <c:crosses val="autoZero"/>
        <c:auto val="1"/>
        <c:lblAlgn val="ctr"/>
        <c:lblOffset val="100"/>
        <c:noMultiLvlLbl val="0"/>
      </c:catAx>
      <c:valAx>
        <c:axId val="61319436"/>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44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5</xdr:row>
      <xdr:rowOff>0</xdr:rowOff>
    </xdr:from>
    <xdr:to>
      <xdr:col>20</xdr:col>
      <xdr:colOff>76320</xdr:colOff>
      <xdr:row>14</xdr:row>
      <xdr:rowOff>77040</xdr:rowOff>
    </xdr:to>
    <xdr:graphicFrame>
      <xdr:nvGraphicFramePr>
        <xdr:cNvPr id="0" name="Chart 1"/>
        <xdr:cNvGraphicFramePr/>
      </xdr:nvGraphicFramePr>
      <xdr:xfrm>
        <a:off x="9233640" y="1190520"/>
        <a:ext cx="557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20</xdr:col>
      <xdr:colOff>76320</xdr:colOff>
      <xdr:row>33</xdr:row>
      <xdr:rowOff>77040</xdr:rowOff>
    </xdr:to>
    <xdr:graphicFrame>
      <xdr:nvGraphicFramePr>
        <xdr:cNvPr id="1" name="Chart 2"/>
        <xdr:cNvGraphicFramePr/>
      </xdr:nvGraphicFramePr>
      <xdr:xfrm>
        <a:off x="9233640" y="5572080"/>
        <a:ext cx="557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B4" s="3"/>
      <c r="C4" s="3"/>
      <c r="D4" s="3"/>
      <c r="E4" s="3"/>
      <c r="F4" s="3"/>
      <c r="G4" s="3"/>
    </row>
    <row r="6" customFormat="false" ht="30" hidden="false" customHeight="true" outlineLevel="0" collapsed="false">
      <c r="B6" s="4" t="s">
        <v>2</v>
      </c>
      <c r="C6" s="5" t="s">
        <v>3</v>
      </c>
    </row>
    <row r="8" customFormat="false" ht="30" hidden="false" customHeight="true" outlineLevel="0" collapsed="false">
      <c r="B8" s="4" t="s">
        <v>4</v>
      </c>
      <c r="C8" s="5" t="s">
        <v>5</v>
      </c>
    </row>
    <row r="10" customFormat="false" ht="30" hidden="false" customHeight="true" outlineLevel="0" collapsed="false">
      <c r="B10" s="6" t="s">
        <v>6</v>
      </c>
      <c r="C10" s="5" t="s">
        <v>7</v>
      </c>
    </row>
    <row r="12" customFormat="false" ht="30" hidden="false" customHeight="true" outlineLevel="0" collapsed="false">
      <c r="B12" s="7" t="s">
        <v>8</v>
      </c>
      <c r="C12" s="5" t="s">
        <v>9</v>
      </c>
    </row>
    <row r="14" customFormat="false" ht="30" hidden="false" customHeight="true" outlineLevel="0" collapsed="false">
      <c r="B14" s="7" t="s">
        <v>10</v>
      </c>
      <c r="C14" s="5" t="s">
        <v>11</v>
      </c>
    </row>
    <row r="16" customFormat="false" ht="30" hidden="false" customHeight="true" outlineLevel="0" collapsed="false">
      <c r="B16" s="7" t="s">
        <v>12</v>
      </c>
      <c r="C16" s="5" t="s">
        <v>13</v>
      </c>
    </row>
    <row r="18" customFormat="false" ht="30" hidden="false" customHeight="true" outlineLevel="0" collapsed="false">
      <c r="B18" s="7" t="s">
        <v>14</v>
      </c>
      <c r="C18" s="5" t="s">
        <v>15</v>
      </c>
    </row>
    <row r="20" customFormat="false" ht="30" hidden="false" customHeight="true" outlineLevel="0" collapsed="false">
      <c r="B20" s="7" t="s">
        <v>16</v>
      </c>
      <c r="C20" s="5" t="s">
        <v>17</v>
      </c>
    </row>
    <row r="22" customFormat="false" ht="30" hidden="false" customHeight="true" outlineLevel="0" collapsed="false">
      <c r="B22" s="7" t="s">
        <v>18</v>
      </c>
      <c r="C22" s="5" t="s">
        <v>19</v>
      </c>
    </row>
    <row r="26" customFormat="false" ht="15" hidden="false" customHeight="false" outlineLevel="0" collapsed="false">
      <c r="B26"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B2: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3"/>
    <col collapsed="false" customWidth="true" hidden="false" outlineLevel="0" max="4" min="4" style="0" width="4"/>
    <col collapsed="false" customWidth="true" hidden="false" outlineLevel="0" max="5" min="5" style="0" width="24"/>
    <col collapsed="false" customWidth="true" hidden="false" outlineLevel="0" max="6" min="6" style="0" width="13"/>
    <col collapsed="false" customWidth="true" hidden="false" outlineLevel="0" max="7" min="7" style="0" width="4"/>
    <col collapsed="false" customWidth="true" hidden="false" outlineLevel="0" max="8" min="8" style="0" width="24"/>
    <col collapsed="false" customWidth="true" hidden="false" outlineLevel="0" max="9" min="9" style="0" width="14"/>
    <col collapsed="false" customWidth="true" hidden="false" outlineLevel="0" max="11" min="10" style="0" width="4"/>
  </cols>
  <sheetData>
    <row r="2" customFormat="false" ht="33.75" hidden="false" customHeight="true" outlineLevel="0" collapsed="false">
      <c r="B2" s="1" t="s">
        <v>21</v>
      </c>
    </row>
    <row r="3" customFormat="false" ht="15" hidden="false" customHeight="false" outlineLevel="0" collapsed="false">
      <c r="B3" s="2" t="s">
        <v>22</v>
      </c>
    </row>
    <row r="4" customFormat="false" ht="15" hidden="false" customHeight="false" outlineLevel="0" collapsed="false">
      <c r="B4" s="3"/>
      <c r="C4" s="3"/>
      <c r="D4" s="3"/>
      <c r="E4" s="3"/>
      <c r="F4" s="3"/>
      <c r="G4" s="3"/>
      <c r="H4" s="3"/>
      <c r="I4" s="3"/>
      <c r="J4" s="3"/>
      <c r="K4" s="3"/>
    </row>
    <row r="6" customFormat="false" ht="15" hidden="false" customHeight="false" outlineLevel="0" collapsed="false">
      <c r="B6" s="9" t="s">
        <v>23</v>
      </c>
      <c r="E6" s="9" t="s">
        <v>24</v>
      </c>
      <c r="H6" s="9" t="s">
        <v>25</v>
      </c>
    </row>
    <row r="7" customFormat="false" ht="36" hidden="false" customHeight="true" outlineLevel="0" collapsed="false">
      <c r="B7" s="10" t="n">
        <f aca="false">COUNT('Match Log'!$B$6:$B$155)</f>
        <v>16</v>
      </c>
      <c r="C7" s="10"/>
      <c r="E7" s="10" t="n">
        <f aca="false">COUNTIF('Match Log'!$G$6:$G$155,"W")</f>
        <v>12</v>
      </c>
      <c r="F7" s="10"/>
      <c r="H7" s="10" t="n">
        <f aca="false">COUNTIF('Match Log'!$G$6:$G$155,"L")</f>
        <v>4</v>
      </c>
      <c r="I7" s="10"/>
    </row>
    <row r="9" customFormat="false" ht="15" hidden="false" customHeight="false" outlineLevel="0" collapsed="false">
      <c r="B9" s="9" t="s">
        <v>26</v>
      </c>
      <c r="E9" s="9" t="s">
        <v>27</v>
      </c>
      <c r="H9" s="9" t="s">
        <v>28</v>
      </c>
    </row>
    <row r="10" customFormat="false" ht="36" hidden="false" customHeight="true" outlineLevel="0" collapsed="false">
      <c r="B10" s="11" t="n">
        <f aca="false">IF(B7=0,0,E7/B7)</f>
        <v>0.75</v>
      </c>
      <c r="C10" s="11"/>
      <c r="E10" s="10" t="n">
        <f aca="false">SUM('Match Log'!$I$6:$I$155)</f>
        <v>24</v>
      </c>
      <c r="F10" s="10"/>
      <c r="H10" s="10" t="n">
        <f aca="false">SUM('Match Log'!$J$6:$J$155)</f>
        <v>11</v>
      </c>
      <c r="I10" s="10"/>
    </row>
    <row r="12" customFormat="false" ht="15" hidden="false" customHeight="false" outlineLevel="0" collapsed="false">
      <c r="B12" s="9" t="s">
        <v>29</v>
      </c>
      <c r="E12" s="9" t="s">
        <v>30</v>
      </c>
      <c r="H12" s="9" t="s">
        <v>31</v>
      </c>
    </row>
    <row r="13" customFormat="false" ht="36" hidden="false" customHeight="true" outlineLevel="0" collapsed="false">
      <c r="B13" s="11" t="n">
        <f aca="false">IF(SUM('Match Log'!$N$6:$N$155)=0,0,SUM('Match Log'!$M$6:$M$155)/SUM('Match Log'!$N$6:$N$155))</f>
        <v>0.634146341463415</v>
      </c>
      <c r="C13" s="11"/>
      <c r="E13" s="11" t="n">
        <f aca="false">IF(SUM('Match Log'!$M$6:$M$155)=0,0,SUM('Match Log'!$O$6:$O$155)/SUM('Match Log'!$M$6:$M$155))</f>
        <v>0.715384615384615</v>
      </c>
      <c r="F13" s="11"/>
      <c r="H13" s="11" t="n">
        <f aca="false">IF(SUM('Match Log'!$Q$6:$Q$155)=0,0,SUM('Match Log'!$P$6:$P$155)/SUM('Match Log'!$Q$6:$Q$155))</f>
        <v>0.544</v>
      </c>
      <c r="I13" s="11"/>
    </row>
    <row r="15" customFormat="false" ht="15" hidden="false" customHeight="false" outlineLevel="0" collapsed="false">
      <c r="B15" s="9" t="s">
        <v>32</v>
      </c>
      <c r="E15" s="9" t="s">
        <v>33</v>
      </c>
      <c r="H15" s="9" t="s">
        <v>34</v>
      </c>
    </row>
    <row r="16" customFormat="false" ht="36" hidden="false" customHeight="true" outlineLevel="0" collapsed="false">
      <c r="B16" s="11" t="n">
        <f aca="false">IF(SUM('Match Log'!$S$6:$S$155)=0,0,SUM('Match Log'!$R$6:$R$155)/SUM('Match Log'!$S$6:$S$155))</f>
        <v>0.418604651162791</v>
      </c>
      <c r="C16" s="11"/>
      <c r="E16" s="11" t="n">
        <f aca="false">IF(SUM('Match Log'!$W$6:$W$155)=0,0,SUM('Match Log'!$V$6:$V$155)/SUM('Match Log'!$W$6:$W$155))</f>
        <v>0.66839378238342</v>
      </c>
      <c r="F16" s="11"/>
      <c r="H16" s="12" t="n">
        <f aca="false">IF(SUM('Match Log'!$U$6:$U$155)=0,0,SUM('Match Log'!$T$6:$T$155)/SUM('Match Log'!$U$6:$U$155))</f>
        <v>0.939130434782609</v>
      </c>
      <c r="I16" s="12"/>
    </row>
    <row r="18" customFormat="false" ht="15" hidden="false" customHeight="false" outlineLevel="0" collapsed="false">
      <c r="B18" s="9" t="s">
        <v>35</v>
      </c>
      <c r="E18" s="9" t="s">
        <v>36</v>
      </c>
      <c r="H18" s="9" t="s">
        <v>37</v>
      </c>
    </row>
    <row r="19" customFormat="false" ht="36" hidden="false" customHeight="true" outlineLevel="0" collapsed="false">
      <c r="B19" s="13" t="n">
        <f aca="false">IF(COUNT('Match Log'!$K$6:$K$155)=0,0,SUM('Match Log'!$K$6:$K$155)/COUNT('Match Log'!$K$6:$K$155))</f>
        <v>4.3125</v>
      </c>
      <c r="C19" s="13"/>
      <c r="E19" s="13" t="n">
        <f aca="false">IF(COUNT('Match Log'!$L$6:$L$155)=0,0,SUM('Match Log'!$L$6:$L$155)/COUNT('Match Log'!$L$6:$L$155))</f>
        <v>2.9375</v>
      </c>
      <c r="F19" s="13"/>
      <c r="H19" s="13" t="n">
        <f aca="false">IF(COUNT('Match Log'!$U$6:$U$155)=0,0,SUM('Match Log'!$U$6:$U$155)/COUNT('Match Log'!$U$6:$U$155))</f>
        <v>21.5625</v>
      </c>
      <c r="I19" s="13"/>
    </row>
    <row r="21" customFormat="false" ht="15" hidden="false" customHeight="false" outlineLevel="0" collapsed="false">
      <c r="B21" s="2" t="s">
        <v>38</v>
      </c>
    </row>
    <row r="22" customFormat="false" ht="24" hidden="false" customHeight="true" outlineLevel="0" collapsed="false">
      <c r="B22" s="14" t="s">
        <v>39</v>
      </c>
      <c r="C22" s="14" t="s">
        <v>40</v>
      </c>
      <c r="D22" s="14"/>
      <c r="E22" s="14" t="s">
        <v>41</v>
      </c>
      <c r="F22" s="14" t="s">
        <v>42</v>
      </c>
      <c r="G22" s="14"/>
      <c r="H22" s="14" t="s">
        <v>43</v>
      </c>
      <c r="I22" s="14" t="s">
        <v>44</v>
      </c>
    </row>
    <row r="23" customFormat="false" ht="15" hidden="false" customHeight="false" outlineLevel="0" collapsed="false">
      <c r="B23" s="15" t="s">
        <v>45</v>
      </c>
      <c r="C23" s="16" t="n">
        <f aca="false">COUNTIF('Match Log'!$F$6:$F$155,B23)</f>
        <v>6</v>
      </c>
      <c r="D23" s="16"/>
      <c r="E23" s="16" t="n">
        <f aca="false">COUNTIFS('Match Log'!$F$6:$F$155,B23,'Match Log'!$G$6:$G$155,"W")</f>
        <v>5</v>
      </c>
      <c r="F23" s="17" t="n">
        <f aca="false">IF(C23=0,0,E23/C23)</f>
        <v>0.833333333333333</v>
      </c>
      <c r="G23" s="16"/>
      <c r="H23" s="17" t="n">
        <f aca="false">IF(SUMIF('Match Log'!$F$6:$F$155,B23,'Match Log'!$N$6:$N$155)=0,0,SUMIF('Match Log'!$F$6:$F$155,B23,'Match Log'!$M$6:$M$155)/SUMIF('Match Log'!$F$6:$F$155,B23,'Match Log'!$N$6:$N$155))</f>
        <v>0.62533692722372</v>
      </c>
      <c r="I23" s="17" t="n">
        <f aca="false">IF(SUMIF('Match Log'!$F$6:$F$155,B23,'Match Log'!$S$6:$S$155)=0,0,SUMIF('Match Log'!$F$6:$F$155,B23,'Match Log'!$R$6:$R$155)/SUMIF('Match Log'!$F$6:$F$155,B23,'Match Log'!$S$6:$S$155))</f>
        <v>0.48</v>
      </c>
    </row>
    <row r="24" customFormat="false" ht="15" hidden="false" customHeight="false" outlineLevel="0" collapsed="false">
      <c r="B24" s="15" t="s">
        <v>46</v>
      </c>
      <c r="C24" s="16" t="n">
        <f aca="false">COUNTIF('Match Log'!$F$6:$F$155,B24)</f>
        <v>5</v>
      </c>
      <c r="D24" s="16"/>
      <c r="E24" s="16" t="n">
        <f aca="false">COUNTIFS('Match Log'!$F$6:$F$155,B24,'Match Log'!$G$6:$G$155,"W")</f>
        <v>3</v>
      </c>
      <c r="F24" s="17" t="n">
        <f aca="false">IF(C24=0,0,E24/C24)</f>
        <v>0.6</v>
      </c>
      <c r="G24" s="16"/>
      <c r="H24" s="17" t="n">
        <f aca="false">IF(SUMIF('Match Log'!$F$6:$F$155,B24,'Match Log'!$N$6:$N$155)=0,0,SUMIF('Match Log'!$F$6:$F$155,B24,'Match Log'!$M$6:$M$155)/SUMIF('Match Log'!$F$6:$F$155,B24,'Match Log'!$N$6:$N$155))</f>
        <v>0.625714285714286</v>
      </c>
      <c r="I24" s="17" t="n">
        <f aca="false">IF(SUMIF('Match Log'!$F$6:$F$155,B24,'Match Log'!$S$6:$S$155)=0,0,SUMIF('Match Log'!$F$6:$F$155,B24,'Match Log'!$R$6:$R$155)/SUMIF('Match Log'!$F$6:$F$155,B24,'Match Log'!$S$6:$S$155))</f>
        <v>0.36734693877551</v>
      </c>
    </row>
    <row r="25" customFormat="false" ht="15" hidden="false" customHeight="false" outlineLevel="0" collapsed="false">
      <c r="B25" s="15" t="s">
        <v>47</v>
      </c>
      <c r="C25" s="16" t="n">
        <f aca="false">COUNTIF('Match Log'!$F$6:$F$155,B25)</f>
        <v>3</v>
      </c>
      <c r="D25" s="16"/>
      <c r="E25" s="16" t="n">
        <f aca="false">COUNTIFS('Match Log'!$F$6:$F$155,B25,'Match Log'!$G$6:$G$155,"W")</f>
        <v>2</v>
      </c>
      <c r="F25" s="17" t="n">
        <f aca="false">IF(C25=0,0,E25/C25)</f>
        <v>0.666666666666667</v>
      </c>
      <c r="G25" s="16"/>
      <c r="H25" s="17" t="n">
        <f aca="false">IF(SUMIF('Match Log'!$F$6:$F$155,B25,'Match Log'!$N$6:$N$155)=0,0,SUMIF('Match Log'!$F$6:$F$155,B25,'Match Log'!$M$6:$M$155)/SUMIF('Match Log'!$F$6:$F$155,B25,'Match Log'!$N$6:$N$155))</f>
        <v>0.645161290322581</v>
      </c>
      <c r="I25" s="17" t="n">
        <f aca="false">IF(SUMIF('Match Log'!$F$6:$F$155,B25,'Match Log'!$S$6:$S$155)=0,0,SUMIF('Match Log'!$F$6:$F$155,B25,'Match Log'!$R$6:$R$155)/SUMIF('Match Log'!$F$6:$F$155,B25,'Match Log'!$S$6:$S$155))</f>
        <v>0.333333333333333</v>
      </c>
    </row>
    <row r="26" customFormat="false" ht="15" hidden="false" customHeight="false" outlineLevel="0" collapsed="false">
      <c r="B26" s="15" t="s">
        <v>48</v>
      </c>
      <c r="C26" s="16" t="n">
        <f aca="false">COUNTIF('Match Log'!$F$6:$F$155,B26)</f>
        <v>2</v>
      </c>
      <c r="D26" s="16"/>
      <c r="E26" s="16" t="n">
        <f aca="false">COUNTIFS('Match Log'!$F$6:$F$155,B26,'Match Log'!$G$6:$G$155,"W")</f>
        <v>2</v>
      </c>
      <c r="F26" s="17" t="n">
        <f aca="false">IF(C26=0,0,E26/C26)</f>
        <v>1</v>
      </c>
      <c r="G26" s="16"/>
      <c r="H26" s="17" t="n">
        <f aca="false">IF(SUMIF('Match Log'!$F$6:$F$155,B26,'Match Log'!$N$6:$N$155)=0,0,SUMIF('Match Log'!$F$6:$F$155,B26,'Match Log'!$M$6:$M$155)/SUMIF('Match Log'!$F$6:$F$155,B26,'Match Log'!$N$6:$N$155))</f>
        <v>0.669491525423729</v>
      </c>
      <c r="I26" s="17" t="n">
        <f aca="false">IF(SUMIF('Match Log'!$F$6:$F$155,B26,'Match Log'!$S$6:$S$155)=0,0,SUMIF('Match Log'!$F$6:$F$155,B26,'Match Log'!$R$6:$R$155)/SUMIF('Match Log'!$F$6:$F$155,B26,'Match Log'!$S$6:$S$155))</f>
        <v>0.466666666666667</v>
      </c>
    </row>
    <row r="28" customFormat="false" ht="15" hidden="false" customHeight="false" outlineLevel="0" collapsed="false">
      <c r="B28" s="2" t="s">
        <v>49</v>
      </c>
    </row>
    <row r="29" customFormat="false" ht="24" hidden="false" customHeight="true" outlineLevel="0" collapsed="false">
      <c r="B29" s="14" t="s">
        <v>50</v>
      </c>
      <c r="C29" s="14" t="s">
        <v>51</v>
      </c>
      <c r="D29" s="14"/>
      <c r="E29" s="14" t="s">
        <v>52</v>
      </c>
      <c r="F29" s="14" t="s">
        <v>53</v>
      </c>
      <c r="G29" s="14"/>
      <c r="H29" s="14" t="s">
        <v>54</v>
      </c>
      <c r="I29" s="14" t="s">
        <v>43</v>
      </c>
    </row>
    <row r="30" customFormat="false" ht="15" hidden="false" customHeight="false" outlineLevel="0" collapsed="false">
      <c r="B30" s="16" t="s">
        <v>55</v>
      </c>
      <c r="C30" s="16" t="n">
        <f aca="false">COUNTIFS('Match Log'!$AD$6:$AD$155,1,'Match Log'!$G$6:$G$155,"W")</f>
        <v>0</v>
      </c>
      <c r="D30" s="16"/>
      <c r="E30" s="16" t="n">
        <f aca="false">COUNTIFS('Match Log'!$AD$6:$AD$155,1,'Match Log'!$G$6:$G$155,"L")</f>
        <v>0</v>
      </c>
      <c r="F30" s="18" t="n">
        <f aca="false">IF(COUNTIFS('Match Log'!$AD$6:$AD$155,1,'Match Log'!$T$6:$T$155,"&lt;&gt;")=0,0,SUMIF('Match Log'!$AD$6:$AD$155,1,'Match Log'!$T$6:$T$155)/COUNTIFS('Match Log'!$AD$6:$AD$155,1,'Match Log'!$T$6:$T$155,"&lt;&gt;"))</f>
        <v>0</v>
      </c>
      <c r="G30" s="16"/>
      <c r="H30" s="18" t="n">
        <f aca="false">IF(COUNTIFS('Match Log'!$AD$6:$AD$155,1,'Match Log'!$U$6:$U$155,"&lt;&gt;")=0,0,SUMIF('Match Log'!$AD$6:$AD$155,1,'Match Log'!$U$6:$U$155)/COUNTIFS('Match Log'!$AD$6:$AD$155,1,'Match Log'!$U$6:$U$155,"&lt;&gt;"))</f>
        <v>0</v>
      </c>
      <c r="I30" s="17" t="n">
        <f aca="false">IF(SUMIF('Match Log'!$AD$6:$AD$155,1,'Match Log'!$N$6:$N$155)=0,0,SUMIF('Match Log'!$AD$6:$AD$155,1,'Match Log'!$M$6:$M$155)/SUMIF('Match Log'!$AD$6:$AD$155,1,'Match Log'!$N$6:$N$155))</f>
        <v>0</v>
      </c>
    </row>
    <row r="31" customFormat="false" ht="15" hidden="false" customHeight="false" outlineLevel="0" collapsed="false">
      <c r="B31" s="16" t="s">
        <v>56</v>
      </c>
      <c r="C31" s="16" t="n">
        <f aca="false">COUNTIFS('Match Log'!$AD$6:$AD$155,2,'Match Log'!$G$6:$G$155,"W")</f>
        <v>0</v>
      </c>
      <c r="D31" s="16"/>
      <c r="E31" s="16" t="n">
        <f aca="false">COUNTIFS('Match Log'!$AD$6:$AD$155,2,'Match Log'!$G$6:$G$155,"L")</f>
        <v>0</v>
      </c>
      <c r="F31" s="18" t="n">
        <f aca="false">IF(COUNTIFS('Match Log'!$AD$6:$AD$155,2,'Match Log'!$T$6:$T$155,"&lt;&gt;")=0,0,SUMIF('Match Log'!$AD$6:$AD$155,2,'Match Log'!$T$6:$T$155)/COUNTIFS('Match Log'!$AD$6:$AD$155,2,'Match Log'!$T$6:$T$155,"&lt;&gt;"))</f>
        <v>0</v>
      </c>
      <c r="G31" s="16"/>
      <c r="H31" s="18" t="n">
        <f aca="false">IF(COUNTIFS('Match Log'!$AD$6:$AD$155,2,'Match Log'!$U$6:$U$155,"&lt;&gt;")=0,0,SUMIF('Match Log'!$AD$6:$AD$155,2,'Match Log'!$U$6:$U$155)/COUNTIFS('Match Log'!$AD$6:$AD$155,2,'Match Log'!$U$6:$U$155,"&lt;&gt;"))</f>
        <v>0</v>
      </c>
      <c r="I31" s="17" t="n">
        <f aca="false">IF(SUMIF('Match Log'!$AD$6:$AD$155,2,'Match Log'!$N$6:$N$155)=0,0,SUMIF('Match Log'!$AD$6:$AD$155,2,'Match Log'!$M$6:$M$155)/SUMIF('Match Log'!$AD$6:$AD$155,2,'Match Log'!$N$6:$N$155))</f>
        <v>0</v>
      </c>
    </row>
    <row r="32" customFormat="false" ht="15" hidden="false" customHeight="false" outlineLevel="0" collapsed="false">
      <c r="B32" s="16" t="s">
        <v>57</v>
      </c>
      <c r="C32" s="16" t="n">
        <f aca="false">COUNTIFS('Match Log'!$AD$6:$AD$155,3,'Match Log'!$G$6:$G$155,"W")</f>
        <v>2</v>
      </c>
      <c r="D32" s="16"/>
      <c r="E32" s="16" t="n">
        <f aca="false">COUNTIFS('Match Log'!$AD$6:$AD$155,3,'Match Log'!$G$6:$G$155,"L")</f>
        <v>1</v>
      </c>
      <c r="F32" s="18" t="n">
        <f aca="false">IF(COUNTIFS('Match Log'!$AD$6:$AD$155,3,'Match Log'!$T$6:$T$155,"&lt;&gt;")=0,0,SUMIF('Match Log'!$AD$6:$AD$155,3,'Match Log'!$T$6:$T$155)/COUNTIFS('Match Log'!$AD$6:$AD$155,3,'Match Log'!$T$6:$T$155,"&lt;&gt;"))</f>
        <v>17.3333333333333</v>
      </c>
      <c r="G32" s="16"/>
      <c r="H32" s="18" t="n">
        <f aca="false">IF(COUNTIFS('Match Log'!$AD$6:$AD$155,3,'Match Log'!$U$6:$U$155,"&lt;&gt;")=0,0,SUMIF('Match Log'!$AD$6:$AD$155,3,'Match Log'!$U$6:$U$155)/COUNTIFS('Match Log'!$AD$6:$AD$155,3,'Match Log'!$U$6:$U$155,"&lt;&gt;"))</f>
        <v>21.3333333333333</v>
      </c>
      <c r="I32" s="17" t="n">
        <f aca="false">IF(SUMIF('Match Log'!$AD$6:$AD$155,3,'Match Log'!$N$6:$N$155)=0,0,SUMIF('Match Log'!$AD$6:$AD$155,3,'Match Log'!$M$6:$M$155)/SUMIF('Match Log'!$AD$6:$AD$155,3,'Match Log'!$N$6:$N$155))</f>
        <v>0.601123595505618</v>
      </c>
    </row>
    <row r="33" customFormat="false" ht="15" hidden="false" customHeight="false" outlineLevel="0" collapsed="false">
      <c r="B33" s="16" t="s">
        <v>58</v>
      </c>
      <c r="C33" s="16" t="n">
        <f aca="false">COUNTIFS('Match Log'!$AD$6:$AD$155,4,'Match Log'!$G$6:$G$155,"W")</f>
        <v>2</v>
      </c>
      <c r="D33" s="16"/>
      <c r="E33" s="16" t="n">
        <f aca="false">COUNTIFS('Match Log'!$AD$6:$AD$155,4,'Match Log'!$G$6:$G$155,"L")</f>
        <v>1</v>
      </c>
      <c r="F33" s="18" t="n">
        <f aca="false">IF(COUNTIFS('Match Log'!$AD$6:$AD$155,4,'Match Log'!$T$6:$T$155,"&lt;&gt;")=0,0,SUMIF('Match Log'!$AD$6:$AD$155,4,'Match Log'!$T$6:$T$155)/COUNTIFS('Match Log'!$AD$6:$AD$155,4,'Match Log'!$T$6:$T$155,"&lt;&gt;"))</f>
        <v>17.3333333333333</v>
      </c>
      <c r="G33" s="16"/>
      <c r="H33" s="18" t="n">
        <f aca="false">IF(COUNTIFS('Match Log'!$AD$6:$AD$155,4,'Match Log'!$U$6:$U$155,"&lt;&gt;")=0,0,SUMIF('Match Log'!$AD$6:$AD$155,4,'Match Log'!$U$6:$U$155)/COUNTIFS('Match Log'!$AD$6:$AD$155,4,'Match Log'!$U$6:$U$155,"&lt;&gt;"))</f>
        <v>28</v>
      </c>
      <c r="I33" s="17" t="n">
        <f aca="false">IF(SUMIF('Match Log'!$AD$6:$AD$155,4,'Match Log'!$N$6:$N$155)=0,0,SUMIF('Match Log'!$AD$6:$AD$155,4,'Match Log'!$M$6:$M$155)/SUMIF('Match Log'!$AD$6:$AD$155,4,'Match Log'!$N$6:$N$155))</f>
        <v>0.606635071090047</v>
      </c>
    </row>
    <row r="34" customFormat="false" ht="15" hidden="false" customHeight="false" outlineLevel="0" collapsed="false">
      <c r="B34" s="16" t="s">
        <v>59</v>
      </c>
      <c r="C34" s="16" t="n">
        <f aca="false">COUNTIFS('Match Log'!$AD$6:$AD$155,5,'Match Log'!$G$6:$G$155,"W")</f>
        <v>2</v>
      </c>
      <c r="D34" s="16"/>
      <c r="E34" s="16" t="n">
        <f aca="false">COUNTIFS('Match Log'!$AD$6:$AD$155,5,'Match Log'!$G$6:$G$155,"L")</f>
        <v>1</v>
      </c>
      <c r="F34" s="18" t="n">
        <f aca="false">IF(COUNTIFS('Match Log'!$AD$6:$AD$155,5,'Match Log'!$T$6:$T$155,"&lt;&gt;")=0,0,SUMIF('Match Log'!$AD$6:$AD$155,5,'Match Log'!$T$6:$T$155)/COUNTIFS('Match Log'!$AD$6:$AD$155,5,'Match Log'!$T$6:$T$155,"&lt;&gt;"))</f>
        <v>18.6666666666667</v>
      </c>
      <c r="G34" s="16"/>
      <c r="H34" s="18" t="n">
        <f aca="false">IF(COUNTIFS('Match Log'!$AD$6:$AD$155,5,'Match Log'!$U$6:$U$155,"&lt;&gt;")=0,0,SUMIF('Match Log'!$AD$6:$AD$155,5,'Match Log'!$U$6:$U$155)/COUNTIFS('Match Log'!$AD$6:$AD$155,5,'Match Log'!$U$6:$U$155,"&lt;&gt;"))</f>
        <v>23.6666666666667</v>
      </c>
      <c r="I34" s="17" t="n">
        <f aca="false">IF(SUMIF('Match Log'!$AD$6:$AD$155,5,'Match Log'!$N$6:$N$155)=0,0,SUMIF('Match Log'!$AD$6:$AD$155,5,'Match Log'!$M$6:$M$155)/SUMIF('Match Log'!$AD$6:$AD$155,5,'Match Log'!$N$6:$N$155))</f>
        <v>0.645320197044335</v>
      </c>
    </row>
    <row r="35" customFormat="false" ht="15" hidden="false" customHeight="false" outlineLevel="0" collapsed="false">
      <c r="B35" s="16" t="s">
        <v>60</v>
      </c>
      <c r="C35" s="16" t="n">
        <f aca="false">COUNTIFS('Match Log'!$AD$6:$AD$155,6,'Match Log'!$G$6:$G$155,"W")</f>
        <v>2</v>
      </c>
      <c r="D35" s="16"/>
      <c r="E35" s="16" t="n">
        <f aca="false">COUNTIFS('Match Log'!$AD$6:$AD$155,6,'Match Log'!$G$6:$G$155,"L")</f>
        <v>1</v>
      </c>
      <c r="F35" s="18" t="n">
        <f aca="false">IF(COUNTIFS('Match Log'!$AD$6:$AD$155,6,'Match Log'!$T$6:$T$155,"&lt;&gt;")=0,0,SUMIF('Match Log'!$AD$6:$AD$155,6,'Match Log'!$T$6:$T$155)/COUNTIFS('Match Log'!$AD$6:$AD$155,6,'Match Log'!$T$6:$T$155,"&lt;&gt;"))</f>
        <v>24</v>
      </c>
      <c r="G35" s="16"/>
      <c r="H35" s="18" t="n">
        <f aca="false">IF(COUNTIFS('Match Log'!$AD$6:$AD$155,6,'Match Log'!$U$6:$U$155,"&lt;&gt;")=0,0,SUMIF('Match Log'!$AD$6:$AD$155,6,'Match Log'!$U$6:$U$155)/COUNTIFS('Match Log'!$AD$6:$AD$155,6,'Match Log'!$U$6:$U$155,"&lt;&gt;"))</f>
        <v>18.6666666666667</v>
      </c>
      <c r="I35" s="17" t="n">
        <f aca="false">IF(SUMIF('Match Log'!$AD$6:$AD$155,6,'Match Log'!$N$6:$N$155)=0,0,SUMIF('Match Log'!$AD$6:$AD$155,6,'Match Log'!$M$6:$M$155)/SUMIF('Match Log'!$AD$6:$AD$155,6,'Match Log'!$N$6:$N$155))</f>
        <v>0.645161290322581</v>
      </c>
    </row>
    <row r="36" customFormat="false" ht="15" hidden="false" customHeight="false" outlineLevel="0" collapsed="false">
      <c r="B36" s="16" t="s">
        <v>61</v>
      </c>
      <c r="C36" s="16" t="n">
        <f aca="false">COUNTIFS('Match Log'!$AD$6:$AD$155,7,'Match Log'!$G$6:$G$155,"W")</f>
        <v>1</v>
      </c>
      <c r="D36" s="16"/>
      <c r="E36" s="16" t="n">
        <f aca="false">COUNTIFS('Match Log'!$AD$6:$AD$155,7,'Match Log'!$G$6:$G$155,"L")</f>
        <v>0</v>
      </c>
      <c r="F36" s="18" t="n">
        <f aca="false">IF(COUNTIFS('Match Log'!$AD$6:$AD$155,7,'Match Log'!$T$6:$T$155,"&lt;&gt;")=0,0,SUMIF('Match Log'!$AD$6:$AD$155,7,'Match Log'!$T$6:$T$155)/COUNTIFS('Match Log'!$AD$6:$AD$155,7,'Match Log'!$T$6:$T$155,"&lt;&gt;"))</f>
        <v>21</v>
      </c>
      <c r="G36" s="16"/>
      <c r="H36" s="18" t="n">
        <f aca="false">IF(COUNTIFS('Match Log'!$AD$6:$AD$155,7,'Match Log'!$U$6:$U$155,"&lt;&gt;")=0,0,SUMIF('Match Log'!$AD$6:$AD$155,7,'Match Log'!$U$6:$U$155)/COUNTIFS('Match Log'!$AD$6:$AD$155,7,'Match Log'!$U$6:$U$155,"&lt;&gt;"))</f>
        <v>12</v>
      </c>
      <c r="I36" s="17" t="n">
        <f aca="false">IF(SUMIF('Match Log'!$AD$6:$AD$155,7,'Match Log'!$N$6:$N$155)=0,0,SUMIF('Match Log'!$AD$6:$AD$155,7,'Match Log'!$M$6:$M$155)/SUMIF('Match Log'!$AD$6:$AD$155,7,'Match Log'!$N$6:$N$155))</f>
        <v>0.686274509803922</v>
      </c>
    </row>
    <row r="37" customFormat="false" ht="15" hidden="false" customHeight="false" outlineLevel="0" collapsed="false">
      <c r="B37" s="16" t="s">
        <v>62</v>
      </c>
      <c r="C37" s="16" t="n">
        <f aca="false">COUNTIFS('Match Log'!$AD$6:$AD$155,8,'Match Log'!$G$6:$G$155,"W")</f>
        <v>1</v>
      </c>
      <c r="D37" s="16"/>
      <c r="E37" s="16" t="n">
        <f aca="false">COUNTIFS('Match Log'!$AD$6:$AD$155,8,'Match Log'!$G$6:$G$155,"L")</f>
        <v>0</v>
      </c>
      <c r="F37" s="18" t="n">
        <f aca="false">IF(COUNTIFS('Match Log'!$AD$6:$AD$155,8,'Match Log'!$T$6:$T$155,"&lt;&gt;")=0,0,SUMIF('Match Log'!$AD$6:$AD$155,8,'Match Log'!$T$6:$T$155)/COUNTIFS('Match Log'!$AD$6:$AD$155,8,'Match Log'!$T$6:$T$155,"&lt;&gt;"))</f>
        <v>25</v>
      </c>
      <c r="G37" s="16"/>
      <c r="H37" s="18" t="n">
        <f aca="false">IF(COUNTIFS('Match Log'!$AD$6:$AD$155,8,'Match Log'!$U$6:$U$155,"&lt;&gt;")=0,0,SUMIF('Match Log'!$AD$6:$AD$155,8,'Match Log'!$U$6:$U$155)/COUNTIFS('Match Log'!$AD$6:$AD$155,8,'Match Log'!$U$6:$U$155,"&lt;&gt;"))</f>
        <v>24</v>
      </c>
      <c r="I37" s="17" t="n">
        <f aca="false">IF(SUMIF('Match Log'!$AD$6:$AD$155,8,'Match Log'!$N$6:$N$155)=0,0,SUMIF('Match Log'!$AD$6:$AD$155,8,'Match Log'!$M$6:$M$155)/SUMIF('Match Log'!$AD$6:$AD$155,8,'Match Log'!$N$6:$N$155))</f>
        <v>0.641025641025641</v>
      </c>
    </row>
    <row r="38" customFormat="false" ht="15" hidden="false" customHeight="false" outlineLevel="0" collapsed="false">
      <c r="B38" s="16" t="s">
        <v>63</v>
      </c>
      <c r="C38" s="16" t="n">
        <f aca="false">COUNTIFS('Match Log'!$AD$6:$AD$155,9,'Match Log'!$G$6:$G$155,"W")</f>
        <v>1</v>
      </c>
      <c r="D38" s="16"/>
      <c r="E38" s="16" t="n">
        <f aca="false">COUNTIFS('Match Log'!$AD$6:$AD$155,9,'Match Log'!$G$6:$G$155,"L")</f>
        <v>0</v>
      </c>
      <c r="F38" s="18" t="n">
        <f aca="false">IF(COUNTIFS('Match Log'!$AD$6:$AD$155,9,'Match Log'!$T$6:$T$155,"&lt;&gt;")=0,0,SUMIF('Match Log'!$AD$6:$AD$155,9,'Match Log'!$T$6:$T$155)/COUNTIFS('Match Log'!$AD$6:$AD$155,9,'Match Log'!$T$6:$T$155,"&lt;&gt;"))</f>
        <v>22</v>
      </c>
      <c r="G38" s="16"/>
      <c r="H38" s="18" t="n">
        <f aca="false">IF(COUNTIFS('Match Log'!$AD$6:$AD$155,9,'Match Log'!$U$6:$U$155,"&lt;&gt;")=0,0,SUMIF('Match Log'!$AD$6:$AD$155,9,'Match Log'!$U$6:$U$155)/COUNTIFS('Match Log'!$AD$6:$AD$155,9,'Match Log'!$U$6:$U$155,"&lt;&gt;"))</f>
        <v>15</v>
      </c>
      <c r="I38" s="17" t="n">
        <f aca="false">IF(SUMIF('Match Log'!$AD$6:$AD$155,9,'Match Log'!$N$6:$N$155)=0,0,SUMIF('Match Log'!$AD$6:$AD$155,9,'Match Log'!$M$6:$M$155)/SUMIF('Match Log'!$AD$6:$AD$155,9,'Match Log'!$N$6:$N$155))</f>
        <v>0.672727272727273</v>
      </c>
    </row>
    <row r="39" customFormat="false" ht="15" hidden="false" customHeight="false" outlineLevel="0" collapsed="false">
      <c r="B39" s="16" t="s">
        <v>64</v>
      </c>
      <c r="C39" s="16" t="n">
        <f aca="false">COUNTIFS('Match Log'!$AD$6:$AD$155,10,'Match Log'!$G$6:$G$155,"W")</f>
        <v>1</v>
      </c>
      <c r="D39" s="16"/>
      <c r="E39" s="16" t="n">
        <f aca="false">COUNTIFS('Match Log'!$AD$6:$AD$155,10,'Match Log'!$G$6:$G$155,"L")</f>
        <v>0</v>
      </c>
      <c r="F39" s="18" t="n">
        <f aca="false">IF(COUNTIFS('Match Log'!$AD$6:$AD$155,10,'Match Log'!$T$6:$T$155,"&lt;&gt;")=0,0,SUMIF('Match Log'!$AD$6:$AD$155,10,'Match Log'!$T$6:$T$155)/COUNTIFS('Match Log'!$AD$6:$AD$155,10,'Match Log'!$T$6:$T$155,"&lt;&gt;"))</f>
        <v>24</v>
      </c>
      <c r="G39" s="16"/>
      <c r="H39" s="18" t="n">
        <f aca="false">IF(COUNTIFS('Match Log'!$AD$6:$AD$155,10,'Match Log'!$U$6:$U$155,"&lt;&gt;")=0,0,SUMIF('Match Log'!$AD$6:$AD$155,10,'Match Log'!$U$6:$U$155)/COUNTIFS('Match Log'!$AD$6:$AD$155,10,'Match Log'!$U$6:$U$155,"&lt;&gt;"))</f>
        <v>19</v>
      </c>
      <c r="I39" s="17" t="n">
        <f aca="false">IF(SUMIF('Match Log'!$AD$6:$AD$155,10,'Match Log'!$N$6:$N$155)=0,0,SUMIF('Match Log'!$AD$6:$AD$155,10,'Match Log'!$M$6:$M$155)/SUMIF('Match Log'!$AD$6:$AD$155,10,'Match Log'!$N$6:$N$155))</f>
        <v>0.666666666666667</v>
      </c>
    </row>
    <row r="40" customFormat="false" ht="15" hidden="false" customHeight="false" outlineLevel="0" collapsed="false">
      <c r="B40" s="16" t="s">
        <v>65</v>
      </c>
      <c r="C40" s="16" t="n">
        <f aca="false">COUNTIFS('Match Log'!$AD$6:$AD$155,11,'Match Log'!$G$6:$G$155,"W")</f>
        <v>0</v>
      </c>
      <c r="D40" s="16"/>
      <c r="E40" s="16" t="n">
        <f aca="false">COUNTIFS('Match Log'!$AD$6:$AD$155,11,'Match Log'!$G$6:$G$155,"L")</f>
        <v>0</v>
      </c>
      <c r="F40" s="18" t="n">
        <f aca="false">IF(COUNTIFS('Match Log'!$AD$6:$AD$155,11,'Match Log'!$T$6:$T$155,"&lt;&gt;")=0,0,SUMIF('Match Log'!$AD$6:$AD$155,11,'Match Log'!$T$6:$T$155)/COUNTIFS('Match Log'!$AD$6:$AD$155,11,'Match Log'!$T$6:$T$155,"&lt;&gt;"))</f>
        <v>0</v>
      </c>
      <c r="G40" s="16"/>
      <c r="H40" s="18" t="n">
        <f aca="false">IF(COUNTIFS('Match Log'!$AD$6:$AD$155,11,'Match Log'!$U$6:$U$155,"&lt;&gt;")=0,0,SUMIF('Match Log'!$AD$6:$AD$155,11,'Match Log'!$U$6:$U$155)/COUNTIFS('Match Log'!$AD$6:$AD$155,11,'Match Log'!$U$6:$U$155,"&lt;&gt;"))</f>
        <v>0</v>
      </c>
      <c r="I40" s="17" t="n">
        <f aca="false">IF(SUMIF('Match Log'!$AD$6:$AD$155,11,'Match Log'!$N$6:$N$155)=0,0,SUMIF('Match Log'!$AD$6:$AD$155,11,'Match Log'!$M$6:$M$155)/SUMIF('Match Log'!$AD$6:$AD$155,11,'Match Log'!$N$6:$N$155))</f>
        <v>0</v>
      </c>
    </row>
    <row r="41" customFormat="false" ht="15" hidden="false" customHeight="false" outlineLevel="0" collapsed="false">
      <c r="B41" s="16" t="s">
        <v>66</v>
      </c>
      <c r="C41" s="16" t="n">
        <f aca="false">COUNTIFS('Match Log'!$AD$6:$AD$155,12,'Match Log'!$G$6:$G$155,"W")</f>
        <v>0</v>
      </c>
      <c r="D41" s="16"/>
      <c r="E41" s="16" t="n">
        <f aca="false">COUNTIFS('Match Log'!$AD$6:$AD$155,12,'Match Log'!$G$6:$G$155,"L")</f>
        <v>0</v>
      </c>
      <c r="F41" s="18" t="n">
        <f aca="false">IF(COUNTIFS('Match Log'!$AD$6:$AD$155,12,'Match Log'!$T$6:$T$155,"&lt;&gt;")=0,0,SUMIF('Match Log'!$AD$6:$AD$155,12,'Match Log'!$T$6:$T$155)/COUNTIFS('Match Log'!$AD$6:$AD$155,12,'Match Log'!$T$6:$T$155,"&lt;&gt;"))</f>
        <v>0</v>
      </c>
      <c r="G41" s="16"/>
      <c r="H41" s="18" t="n">
        <f aca="false">IF(COUNTIFS('Match Log'!$AD$6:$AD$155,12,'Match Log'!$U$6:$U$155,"&lt;&gt;")=0,0,SUMIF('Match Log'!$AD$6:$AD$155,12,'Match Log'!$U$6:$U$155)/COUNTIFS('Match Log'!$AD$6:$AD$155,12,'Match Log'!$U$6:$U$155,"&lt;&gt;"))</f>
        <v>0</v>
      </c>
      <c r="I41" s="17" t="n">
        <f aca="false">IF(SUMIF('Match Log'!$AD$6:$AD$155,12,'Match Log'!$N$6:$N$155)=0,0,SUMIF('Match Log'!$AD$6:$AD$155,12,'Match Log'!$M$6:$M$155)/SUMIF('Match Log'!$AD$6:$AD$155,12,'Match Log'!$N$6:$N$155))</f>
        <v>0</v>
      </c>
    </row>
  </sheetData>
  <mergeCells count="15">
    <mergeCell ref="B7:C7"/>
    <mergeCell ref="E7:F7"/>
    <mergeCell ref="H7:I7"/>
    <mergeCell ref="B10:C10"/>
    <mergeCell ref="E10:F10"/>
    <mergeCell ref="H10:I10"/>
    <mergeCell ref="B13:C13"/>
    <mergeCell ref="E13:F13"/>
    <mergeCell ref="H13:I13"/>
    <mergeCell ref="B16:C16"/>
    <mergeCell ref="E16:F16"/>
    <mergeCell ref="H16:I16"/>
    <mergeCell ref="B19:C19"/>
    <mergeCell ref="E19:F19"/>
    <mergeCell ref="H19:I19"/>
  </mergeCells>
  <conditionalFormatting sqref="C30:I41">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B2:AD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18"/>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23" min="9" style="0" width="8"/>
    <col collapsed="false" customWidth="true" hidden="false" outlineLevel="0" max="30" min="24" style="0" width="10"/>
  </cols>
  <sheetData>
    <row r="2" customFormat="false" ht="33.75" hidden="false" customHeight="true" outlineLevel="0" collapsed="false">
      <c r="B2" s="1" t="s">
        <v>67</v>
      </c>
    </row>
    <row r="3" customFormat="false" ht="15" hidden="false" customHeight="false" outlineLevel="0" collapsed="false">
      <c r="B3" s="2" t="s">
        <v>68</v>
      </c>
    </row>
    <row r="4" customFormat="false" ht="15" hidden="false" customHeight="false" outlineLevel="0" collapsed="false">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39.75" hidden="false" customHeight="true" outlineLevel="0" collapsed="false">
      <c r="B5" s="14" t="s">
        <v>69</v>
      </c>
      <c r="C5" s="14" t="s">
        <v>70</v>
      </c>
      <c r="D5" s="14" t="s">
        <v>71</v>
      </c>
      <c r="E5" s="14" t="s">
        <v>72</v>
      </c>
      <c r="F5" s="14" t="s">
        <v>39</v>
      </c>
      <c r="G5" s="14" t="s">
        <v>73</v>
      </c>
      <c r="H5" s="14" t="s">
        <v>74</v>
      </c>
      <c r="I5" s="14" t="s">
        <v>75</v>
      </c>
      <c r="J5" s="14" t="s">
        <v>76</v>
      </c>
      <c r="K5" s="14" t="s">
        <v>77</v>
      </c>
      <c r="L5" s="14" t="s">
        <v>78</v>
      </c>
      <c r="M5" s="14" t="s">
        <v>79</v>
      </c>
      <c r="N5" s="14" t="s">
        <v>80</v>
      </c>
      <c r="O5" s="14" t="s">
        <v>81</v>
      </c>
      <c r="P5" s="14" t="s">
        <v>82</v>
      </c>
      <c r="Q5" s="14" t="s">
        <v>83</v>
      </c>
      <c r="R5" s="14" t="s">
        <v>84</v>
      </c>
      <c r="S5" s="14" t="s">
        <v>85</v>
      </c>
      <c r="T5" s="14" t="s">
        <v>86</v>
      </c>
      <c r="U5" s="14" t="s">
        <v>87</v>
      </c>
      <c r="V5" s="14" t="s">
        <v>88</v>
      </c>
      <c r="W5" s="14" t="s">
        <v>89</v>
      </c>
      <c r="X5" s="14" t="s">
        <v>90</v>
      </c>
      <c r="Y5" s="14" t="s">
        <v>91</v>
      </c>
      <c r="Z5" s="14" t="s">
        <v>92</v>
      </c>
      <c r="AA5" s="14" t="s">
        <v>93</v>
      </c>
      <c r="AB5" s="14" t="s">
        <v>94</v>
      </c>
      <c r="AC5" s="14" t="s">
        <v>95</v>
      </c>
      <c r="AD5" s="14" t="s">
        <v>50</v>
      </c>
    </row>
    <row r="6" customFormat="false" ht="15" hidden="false" customHeight="false" outlineLevel="0" collapsed="false">
      <c r="B6" s="19" t="n">
        <v>46088</v>
      </c>
      <c r="C6" s="20" t="s">
        <v>96</v>
      </c>
      <c r="D6" s="21" t="s">
        <v>97</v>
      </c>
      <c r="E6" s="20" t="s">
        <v>98</v>
      </c>
      <c r="F6" s="21" t="s">
        <v>45</v>
      </c>
      <c r="G6" s="21" t="s">
        <v>99</v>
      </c>
      <c r="H6" s="20" t="s">
        <v>100</v>
      </c>
      <c r="I6" s="21" t="n">
        <v>2</v>
      </c>
      <c r="J6" s="21" t="n">
        <v>0</v>
      </c>
      <c r="K6" s="21" t="n">
        <v>4</v>
      </c>
      <c r="L6" s="21" t="n">
        <v>3</v>
      </c>
      <c r="M6" s="21" t="n">
        <v>38</v>
      </c>
      <c r="N6" s="21" t="n">
        <v>62</v>
      </c>
      <c r="O6" s="21" t="n">
        <v>27</v>
      </c>
      <c r="P6" s="21" t="n">
        <v>13</v>
      </c>
      <c r="Q6" s="21" t="n">
        <v>24</v>
      </c>
      <c r="R6" s="21" t="n">
        <v>4</v>
      </c>
      <c r="S6" s="21" t="n">
        <v>9</v>
      </c>
      <c r="T6" s="21" t="n">
        <v>18</v>
      </c>
      <c r="U6" s="21" t="n">
        <v>21</v>
      </c>
      <c r="V6" s="21" t="n">
        <v>8</v>
      </c>
      <c r="W6" s="21" t="n">
        <v>12</v>
      </c>
      <c r="X6" s="22" t="n">
        <f aca="false">IF(OR(N6="",N6=0),"",M6/N6)</f>
        <v>0.612903225806452</v>
      </c>
      <c r="Y6" s="22" t="n">
        <f aca="false">IF(OR(M6="",M6=0),"",O6/M6)</f>
        <v>0.710526315789474</v>
      </c>
      <c r="Z6" s="22" t="n">
        <f aca="false">IF(OR(Q6="",Q6=0),"",P6/Q6)</f>
        <v>0.541666666666667</v>
      </c>
      <c r="AA6" s="22" t="n">
        <f aca="false">IF(OR(S6="",S6=0),"",R6/S6)</f>
        <v>0.444444444444444</v>
      </c>
      <c r="AB6" s="23" t="n">
        <f aca="false">IF(OR(T6="",U6=""),"",T6-U6)</f>
        <v>-3</v>
      </c>
      <c r="AC6" s="22" t="n">
        <f aca="false">IF(OR(W6="",W6=0),"",V6/W6)</f>
        <v>0.666666666666667</v>
      </c>
      <c r="AD6" s="24" t="n">
        <f aca="false">IF(B6="","",MONTH(B6))</f>
        <v>3</v>
      </c>
    </row>
    <row r="7" customFormat="false" ht="15" hidden="false" customHeight="false" outlineLevel="0" collapsed="false">
      <c r="B7" s="19" t="n">
        <v>46089</v>
      </c>
      <c r="C7" s="20" t="s">
        <v>96</v>
      </c>
      <c r="D7" s="21" t="s">
        <v>101</v>
      </c>
      <c r="E7" s="20" t="s">
        <v>102</v>
      </c>
      <c r="F7" s="21" t="s">
        <v>45</v>
      </c>
      <c r="G7" s="21" t="s">
        <v>103</v>
      </c>
      <c r="H7" s="20" t="s">
        <v>104</v>
      </c>
      <c r="I7" s="21" t="n">
        <v>0</v>
      </c>
      <c r="J7" s="21" t="n">
        <v>2</v>
      </c>
      <c r="K7" s="21" t="n">
        <v>2</v>
      </c>
      <c r="L7" s="21" t="n">
        <v>5</v>
      </c>
      <c r="M7" s="21" t="n">
        <v>35</v>
      </c>
      <c r="N7" s="21" t="n">
        <v>66</v>
      </c>
      <c r="O7" s="21" t="n">
        <v>22</v>
      </c>
      <c r="P7" s="21" t="n">
        <v>12</v>
      </c>
      <c r="Q7" s="21" t="n">
        <v>31</v>
      </c>
      <c r="R7" s="21" t="n">
        <v>2</v>
      </c>
      <c r="S7" s="21" t="n">
        <v>7</v>
      </c>
      <c r="T7" s="21" t="n">
        <v>14</v>
      </c>
      <c r="U7" s="21" t="n">
        <v>29</v>
      </c>
      <c r="V7" s="21" t="n">
        <v>5</v>
      </c>
      <c r="W7" s="21" t="n">
        <v>10</v>
      </c>
      <c r="X7" s="22" t="n">
        <f aca="false">IF(OR(N7="",N7=0),"",M7/N7)</f>
        <v>0.53030303030303</v>
      </c>
      <c r="Y7" s="22" t="n">
        <f aca="false">IF(OR(M7="",M7=0),"",O7/M7)</f>
        <v>0.628571428571429</v>
      </c>
      <c r="Z7" s="22" t="n">
        <f aca="false">IF(OR(Q7="",Q7=0),"",P7/Q7)</f>
        <v>0.387096774193548</v>
      </c>
      <c r="AA7" s="22" t="n">
        <f aca="false">IF(OR(S7="",S7=0),"",R7/S7)</f>
        <v>0.285714285714286</v>
      </c>
      <c r="AB7" s="23" t="n">
        <f aca="false">IF(OR(T7="",U7=""),"",T7-U7)</f>
        <v>-15</v>
      </c>
      <c r="AC7" s="22" t="n">
        <f aca="false">IF(OR(W7="",W7=0),"",V7/W7)</f>
        <v>0.5</v>
      </c>
      <c r="AD7" s="24" t="n">
        <f aca="false">IF(B7="","",MONTH(B7))</f>
        <v>3</v>
      </c>
    </row>
    <row r="8" customFormat="false" ht="15" hidden="false" customHeight="false" outlineLevel="0" collapsed="false">
      <c r="B8" s="19" t="n">
        <v>46102</v>
      </c>
      <c r="C8" s="20" t="s">
        <v>105</v>
      </c>
      <c r="D8" s="21" t="s">
        <v>106</v>
      </c>
      <c r="E8" s="20" t="s">
        <v>107</v>
      </c>
      <c r="F8" s="21" t="s">
        <v>45</v>
      </c>
      <c r="G8" s="21" t="s">
        <v>99</v>
      </c>
      <c r="H8" s="20" t="s">
        <v>108</v>
      </c>
      <c r="I8" s="21" t="n">
        <v>2</v>
      </c>
      <c r="J8" s="21" t="n">
        <v>0</v>
      </c>
      <c r="K8" s="21" t="n">
        <v>5</v>
      </c>
      <c r="L8" s="21" t="n">
        <v>1</v>
      </c>
      <c r="M8" s="21" t="n">
        <v>34</v>
      </c>
      <c r="N8" s="21" t="n">
        <v>50</v>
      </c>
      <c r="O8" s="21" t="n">
        <v>26</v>
      </c>
      <c r="P8" s="21" t="n">
        <v>11</v>
      </c>
      <c r="Q8" s="21" t="n">
        <v>16</v>
      </c>
      <c r="R8" s="21" t="n">
        <v>5</v>
      </c>
      <c r="S8" s="21" t="n">
        <v>8</v>
      </c>
      <c r="T8" s="21" t="n">
        <v>20</v>
      </c>
      <c r="U8" s="21" t="n">
        <v>14</v>
      </c>
      <c r="V8" s="21" t="n">
        <v>9</v>
      </c>
      <c r="W8" s="21" t="n">
        <v>11</v>
      </c>
      <c r="X8" s="22" t="n">
        <f aca="false">IF(OR(N8="",N8=0),"",M8/N8)</f>
        <v>0.68</v>
      </c>
      <c r="Y8" s="22" t="n">
        <f aca="false">IF(OR(M8="",M8=0),"",O8/M8)</f>
        <v>0.764705882352941</v>
      </c>
      <c r="Z8" s="22" t="n">
        <f aca="false">IF(OR(Q8="",Q8=0),"",P8/Q8)</f>
        <v>0.6875</v>
      </c>
      <c r="AA8" s="22" t="n">
        <f aca="false">IF(OR(S8="",S8=0),"",R8/S8)</f>
        <v>0.625</v>
      </c>
      <c r="AB8" s="23" t="n">
        <f aca="false">IF(OR(T8="",U8=""),"",T8-U8)</f>
        <v>6</v>
      </c>
      <c r="AC8" s="22" t="n">
        <f aca="false">IF(OR(W8="",W8=0),"",V8/W8)</f>
        <v>0.818181818181818</v>
      </c>
      <c r="AD8" s="24" t="n">
        <f aca="false">IF(B8="","",MONTH(B8))</f>
        <v>3</v>
      </c>
    </row>
    <row r="9" customFormat="false" ht="15" hidden="false" customHeight="false" outlineLevel="0" collapsed="false">
      <c r="B9" s="19" t="n">
        <v>46123</v>
      </c>
      <c r="C9" s="20" t="s">
        <v>109</v>
      </c>
      <c r="D9" s="21" t="s">
        <v>97</v>
      </c>
      <c r="E9" s="20" t="s">
        <v>110</v>
      </c>
      <c r="F9" s="21" t="s">
        <v>46</v>
      </c>
      <c r="G9" s="21" t="s">
        <v>99</v>
      </c>
      <c r="H9" s="20" t="s">
        <v>111</v>
      </c>
      <c r="I9" s="21" t="n">
        <v>2</v>
      </c>
      <c r="J9" s="21" t="n">
        <v>1</v>
      </c>
      <c r="K9" s="21" t="n">
        <v>1</v>
      </c>
      <c r="L9" s="21" t="n">
        <v>4</v>
      </c>
      <c r="M9" s="21" t="n">
        <v>52</v>
      </c>
      <c r="N9" s="21" t="n">
        <v>84</v>
      </c>
      <c r="O9" s="21" t="n">
        <v>33</v>
      </c>
      <c r="P9" s="21" t="n">
        <v>17</v>
      </c>
      <c r="Q9" s="21" t="n">
        <v>32</v>
      </c>
      <c r="R9" s="21" t="n">
        <v>6</v>
      </c>
      <c r="S9" s="21" t="n">
        <v>14</v>
      </c>
      <c r="T9" s="21" t="n">
        <v>22</v>
      </c>
      <c r="U9" s="21" t="n">
        <v>33</v>
      </c>
      <c r="V9" s="21" t="n">
        <v>6</v>
      </c>
      <c r="W9" s="21" t="n">
        <v>11</v>
      </c>
      <c r="X9" s="22" t="n">
        <f aca="false">IF(OR(N9="",N9=0),"",M9/N9)</f>
        <v>0.619047619047619</v>
      </c>
      <c r="Y9" s="22" t="n">
        <f aca="false">IF(OR(M9="",M9=0),"",O9/M9)</f>
        <v>0.634615384615385</v>
      </c>
      <c r="Z9" s="22" t="n">
        <f aca="false">IF(OR(Q9="",Q9=0),"",P9/Q9)</f>
        <v>0.53125</v>
      </c>
      <c r="AA9" s="22" t="n">
        <f aca="false">IF(OR(S9="",S9=0),"",R9/S9)</f>
        <v>0.428571428571429</v>
      </c>
      <c r="AB9" s="23" t="n">
        <f aca="false">IF(OR(T9="",U9=""),"",T9-U9)</f>
        <v>-11</v>
      </c>
      <c r="AC9" s="22" t="n">
        <f aca="false">IF(OR(W9="",W9=0),"",V9/W9)</f>
        <v>0.545454545454545</v>
      </c>
      <c r="AD9" s="24" t="n">
        <f aca="false">IF(B9="","",MONTH(B9))</f>
        <v>4</v>
      </c>
    </row>
    <row r="10" customFormat="false" ht="15" hidden="false" customHeight="false" outlineLevel="0" collapsed="false">
      <c r="B10" s="19" t="n">
        <v>46124</v>
      </c>
      <c r="C10" s="20" t="s">
        <v>109</v>
      </c>
      <c r="D10" s="21" t="s">
        <v>112</v>
      </c>
      <c r="E10" s="20" t="s">
        <v>113</v>
      </c>
      <c r="F10" s="21" t="s">
        <v>46</v>
      </c>
      <c r="G10" s="21" t="s">
        <v>103</v>
      </c>
      <c r="H10" s="20" t="s">
        <v>114</v>
      </c>
      <c r="I10" s="21" t="n">
        <v>0</v>
      </c>
      <c r="J10" s="21" t="n">
        <v>2</v>
      </c>
      <c r="K10" s="21" t="n">
        <v>1</v>
      </c>
      <c r="L10" s="21" t="n">
        <v>6</v>
      </c>
      <c r="M10" s="21" t="n">
        <v>36</v>
      </c>
      <c r="N10" s="21" t="n">
        <v>63</v>
      </c>
      <c r="O10" s="21" t="n">
        <v>20</v>
      </c>
      <c r="P10" s="21" t="n">
        <v>11</v>
      </c>
      <c r="Q10" s="21" t="n">
        <v>27</v>
      </c>
      <c r="R10" s="21" t="n">
        <v>1</v>
      </c>
      <c r="S10" s="21" t="n">
        <v>6</v>
      </c>
      <c r="T10" s="21" t="n">
        <v>11</v>
      </c>
      <c r="U10" s="21" t="n">
        <v>31</v>
      </c>
      <c r="V10" s="21" t="n">
        <v>3</v>
      </c>
      <c r="W10" s="21" t="n">
        <v>7</v>
      </c>
      <c r="X10" s="22" t="n">
        <f aca="false">IF(OR(N10="",N10=0),"",M10/N10)</f>
        <v>0.571428571428571</v>
      </c>
      <c r="Y10" s="22" t="n">
        <f aca="false">IF(OR(M10="",M10=0),"",O10/M10)</f>
        <v>0.555555555555556</v>
      </c>
      <c r="Z10" s="22" t="n">
        <f aca="false">IF(OR(Q10="",Q10=0),"",P10/Q10)</f>
        <v>0.407407407407407</v>
      </c>
      <c r="AA10" s="22" t="n">
        <f aca="false">IF(OR(S10="",S10=0),"",R10/S10)</f>
        <v>0.166666666666667</v>
      </c>
      <c r="AB10" s="23" t="n">
        <f aca="false">IF(OR(T10="",U10=""),"",T10-U10)</f>
        <v>-20</v>
      </c>
      <c r="AC10" s="22" t="n">
        <f aca="false">IF(OR(W10="",W10=0),"",V10/W10)</f>
        <v>0.428571428571429</v>
      </c>
      <c r="AD10" s="24" t="n">
        <f aca="false">IF(B10="","",MONTH(B10))</f>
        <v>4</v>
      </c>
    </row>
    <row r="11" customFormat="false" ht="15" hidden="false" customHeight="false" outlineLevel="0" collapsed="false">
      <c r="B11" s="19" t="n">
        <v>46137</v>
      </c>
      <c r="C11" s="20" t="s">
        <v>105</v>
      </c>
      <c r="D11" s="21" t="s">
        <v>106</v>
      </c>
      <c r="E11" s="20" t="s">
        <v>98</v>
      </c>
      <c r="F11" s="21" t="s">
        <v>45</v>
      </c>
      <c r="G11" s="21" t="s">
        <v>99</v>
      </c>
      <c r="H11" s="20" t="s">
        <v>115</v>
      </c>
      <c r="I11" s="21" t="n">
        <v>2</v>
      </c>
      <c r="J11" s="21" t="n">
        <v>0</v>
      </c>
      <c r="K11" s="21" t="n">
        <v>3</v>
      </c>
      <c r="L11" s="21" t="n">
        <v>2</v>
      </c>
      <c r="M11" s="21" t="n">
        <v>40</v>
      </c>
      <c r="N11" s="21" t="n">
        <v>64</v>
      </c>
      <c r="O11" s="21" t="n">
        <v>29</v>
      </c>
      <c r="P11" s="21" t="n">
        <v>14</v>
      </c>
      <c r="Q11" s="21" t="n">
        <v>24</v>
      </c>
      <c r="R11" s="21" t="n">
        <v>3</v>
      </c>
      <c r="S11" s="21" t="n">
        <v>7</v>
      </c>
      <c r="T11" s="21" t="n">
        <v>19</v>
      </c>
      <c r="U11" s="21" t="n">
        <v>20</v>
      </c>
      <c r="V11" s="21" t="n">
        <v>7</v>
      </c>
      <c r="W11" s="21" t="n">
        <v>10</v>
      </c>
      <c r="X11" s="22" t="n">
        <f aca="false">IF(OR(N11="",N11=0),"",M11/N11)</f>
        <v>0.625</v>
      </c>
      <c r="Y11" s="22" t="n">
        <f aca="false">IF(OR(M11="",M11=0),"",O11/M11)</f>
        <v>0.725</v>
      </c>
      <c r="Z11" s="22" t="n">
        <f aca="false">IF(OR(Q11="",Q11=0),"",P11/Q11)</f>
        <v>0.583333333333333</v>
      </c>
      <c r="AA11" s="22" t="n">
        <f aca="false">IF(OR(S11="",S11=0),"",R11/S11)</f>
        <v>0.428571428571429</v>
      </c>
      <c r="AB11" s="23" t="n">
        <f aca="false">IF(OR(T11="",U11=""),"",T11-U11)</f>
        <v>-1</v>
      </c>
      <c r="AC11" s="22" t="n">
        <f aca="false">IF(OR(W11="",W11=0),"",V11/W11)</f>
        <v>0.7</v>
      </c>
      <c r="AD11" s="24" t="n">
        <f aca="false">IF(B11="","",MONTH(B11))</f>
        <v>4</v>
      </c>
    </row>
    <row r="12" customFormat="false" ht="15" hidden="false" customHeight="false" outlineLevel="0" collapsed="false">
      <c r="B12" s="19" t="n">
        <v>46158</v>
      </c>
      <c r="C12" s="20" t="s">
        <v>116</v>
      </c>
      <c r="D12" s="21" t="s">
        <v>97</v>
      </c>
      <c r="E12" s="20" t="s">
        <v>117</v>
      </c>
      <c r="F12" s="21" t="s">
        <v>46</v>
      </c>
      <c r="G12" s="21" t="s">
        <v>99</v>
      </c>
      <c r="H12" s="20" t="s">
        <v>118</v>
      </c>
      <c r="I12" s="21" t="n">
        <v>2</v>
      </c>
      <c r="J12" s="21" t="n">
        <v>0</v>
      </c>
      <c r="K12" s="21" t="n">
        <v>3</v>
      </c>
      <c r="L12" s="21" t="n">
        <v>2</v>
      </c>
      <c r="M12" s="21" t="n">
        <v>36</v>
      </c>
      <c r="N12" s="21" t="n">
        <v>52</v>
      </c>
      <c r="O12" s="21" t="n">
        <v>27</v>
      </c>
      <c r="P12" s="21" t="n">
        <v>10</v>
      </c>
      <c r="Q12" s="21" t="n">
        <v>16</v>
      </c>
      <c r="R12" s="21" t="n">
        <v>5</v>
      </c>
      <c r="S12" s="21" t="n">
        <v>9</v>
      </c>
      <c r="T12" s="21" t="n">
        <v>17</v>
      </c>
      <c r="U12" s="21" t="n">
        <v>15</v>
      </c>
      <c r="V12" s="21" t="n">
        <v>6</v>
      </c>
      <c r="W12" s="21" t="n">
        <v>8</v>
      </c>
      <c r="X12" s="22" t="n">
        <f aca="false">IF(OR(N12="",N12=0),"",M12/N12)</f>
        <v>0.692307692307692</v>
      </c>
      <c r="Y12" s="22" t="n">
        <f aca="false">IF(OR(M12="",M12=0),"",O12/M12)</f>
        <v>0.75</v>
      </c>
      <c r="Z12" s="22" t="n">
        <f aca="false">IF(OR(Q12="",Q12=0),"",P12/Q12)</f>
        <v>0.625</v>
      </c>
      <c r="AA12" s="22" t="n">
        <f aca="false">IF(OR(S12="",S12=0),"",R12/S12)</f>
        <v>0.555555555555556</v>
      </c>
      <c r="AB12" s="23" t="n">
        <f aca="false">IF(OR(T12="",U12=""),"",T12-U12)</f>
        <v>2</v>
      </c>
      <c r="AC12" s="22" t="n">
        <f aca="false">IF(OR(W12="",W12=0),"",V12/W12)</f>
        <v>0.75</v>
      </c>
      <c r="AD12" s="24" t="n">
        <f aca="false">IF(B12="","",MONTH(B12))</f>
        <v>5</v>
      </c>
    </row>
    <row r="13" customFormat="false" ht="15" hidden="false" customHeight="false" outlineLevel="0" collapsed="false">
      <c r="B13" s="19" t="n">
        <v>46159</v>
      </c>
      <c r="C13" s="20" t="s">
        <v>116</v>
      </c>
      <c r="D13" s="21" t="s">
        <v>101</v>
      </c>
      <c r="E13" s="20" t="s">
        <v>102</v>
      </c>
      <c r="F13" s="21" t="s">
        <v>46</v>
      </c>
      <c r="G13" s="21" t="s">
        <v>99</v>
      </c>
      <c r="H13" s="20" t="s">
        <v>119</v>
      </c>
      <c r="I13" s="21" t="n">
        <v>2</v>
      </c>
      <c r="J13" s="21" t="n">
        <v>1</v>
      </c>
      <c r="K13" s="21" t="n">
        <v>5</v>
      </c>
      <c r="L13" s="21" t="n">
        <v>4</v>
      </c>
      <c r="M13" s="21" t="n">
        <v>58</v>
      </c>
      <c r="N13" s="21" t="n">
        <v>91</v>
      </c>
      <c r="O13" s="21" t="n">
        <v>39</v>
      </c>
      <c r="P13" s="21" t="n">
        <v>19</v>
      </c>
      <c r="Q13" s="21" t="n">
        <v>33</v>
      </c>
      <c r="R13" s="21" t="n">
        <v>4</v>
      </c>
      <c r="S13" s="21" t="n">
        <v>12</v>
      </c>
      <c r="T13" s="21" t="n">
        <v>26</v>
      </c>
      <c r="U13" s="21" t="n">
        <v>30</v>
      </c>
      <c r="V13" s="21" t="n">
        <v>11</v>
      </c>
      <c r="W13" s="21" t="n">
        <v>17</v>
      </c>
      <c r="X13" s="22" t="n">
        <f aca="false">IF(OR(N13="",N13=0),"",M13/N13)</f>
        <v>0.637362637362637</v>
      </c>
      <c r="Y13" s="22" t="n">
        <f aca="false">IF(OR(M13="",M13=0),"",O13/M13)</f>
        <v>0.672413793103448</v>
      </c>
      <c r="Z13" s="22" t="n">
        <f aca="false">IF(OR(Q13="",Q13=0),"",P13/Q13)</f>
        <v>0.575757575757576</v>
      </c>
      <c r="AA13" s="22" t="n">
        <f aca="false">IF(OR(S13="",S13=0),"",R13/S13)</f>
        <v>0.333333333333333</v>
      </c>
      <c r="AB13" s="23" t="n">
        <f aca="false">IF(OR(T13="",U13=""),"",T13-U13)</f>
        <v>-4</v>
      </c>
      <c r="AC13" s="22" t="n">
        <f aca="false">IF(OR(W13="",W13=0),"",V13/W13)</f>
        <v>0.647058823529412</v>
      </c>
      <c r="AD13" s="24" t="n">
        <f aca="false">IF(B13="","",MONTH(B13))</f>
        <v>5</v>
      </c>
    </row>
    <row r="14" customFormat="false" ht="15" hidden="false" customHeight="false" outlineLevel="0" collapsed="false">
      <c r="B14" s="19" t="n">
        <v>46160</v>
      </c>
      <c r="C14" s="20" t="s">
        <v>116</v>
      </c>
      <c r="D14" s="21" t="s">
        <v>120</v>
      </c>
      <c r="E14" s="20" t="s">
        <v>121</v>
      </c>
      <c r="F14" s="21" t="s">
        <v>46</v>
      </c>
      <c r="G14" s="21" t="s">
        <v>103</v>
      </c>
      <c r="H14" s="20" t="s">
        <v>122</v>
      </c>
      <c r="I14" s="21" t="n">
        <v>0</v>
      </c>
      <c r="J14" s="21" t="n">
        <v>2</v>
      </c>
      <c r="K14" s="21" t="n">
        <v>2</v>
      </c>
      <c r="L14" s="21" t="n">
        <v>3</v>
      </c>
      <c r="M14" s="21" t="n">
        <v>37</v>
      </c>
      <c r="N14" s="21" t="n">
        <v>60</v>
      </c>
      <c r="O14" s="21" t="n">
        <v>23</v>
      </c>
      <c r="P14" s="21" t="n">
        <v>11</v>
      </c>
      <c r="Q14" s="21" t="n">
        <v>23</v>
      </c>
      <c r="R14" s="21" t="n">
        <v>2</v>
      </c>
      <c r="S14" s="21" t="n">
        <v>8</v>
      </c>
      <c r="T14" s="21" t="n">
        <v>13</v>
      </c>
      <c r="U14" s="21" t="n">
        <v>26</v>
      </c>
      <c r="V14" s="21" t="n">
        <v>4</v>
      </c>
      <c r="W14" s="21" t="n">
        <v>8</v>
      </c>
      <c r="X14" s="22" t="n">
        <f aca="false">IF(OR(N14="",N14=0),"",M14/N14)</f>
        <v>0.616666666666667</v>
      </c>
      <c r="Y14" s="22" t="n">
        <f aca="false">IF(OR(M14="",M14=0),"",O14/M14)</f>
        <v>0.621621621621622</v>
      </c>
      <c r="Z14" s="22" t="n">
        <f aca="false">IF(OR(Q14="",Q14=0),"",P14/Q14)</f>
        <v>0.478260869565217</v>
      </c>
      <c r="AA14" s="22" t="n">
        <f aca="false">IF(OR(S14="",S14=0),"",R14/S14)</f>
        <v>0.25</v>
      </c>
      <c r="AB14" s="23" t="n">
        <f aca="false">IF(OR(T14="",U14=""),"",T14-U14)</f>
        <v>-13</v>
      </c>
      <c r="AC14" s="22" t="n">
        <f aca="false">IF(OR(W14="",W14=0),"",V14/W14)</f>
        <v>0.5</v>
      </c>
      <c r="AD14" s="24" t="n">
        <f aca="false">IF(B14="","",MONTH(B14))</f>
        <v>5</v>
      </c>
    </row>
    <row r="15" customFormat="false" ht="15" hidden="false" customHeight="false" outlineLevel="0" collapsed="false">
      <c r="B15" s="19" t="n">
        <v>46186</v>
      </c>
      <c r="C15" s="20" t="s">
        <v>123</v>
      </c>
      <c r="D15" s="21" t="s">
        <v>97</v>
      </c>
      <c r="E15" s="20" t="s">
        <v>124</v>
      </c>
      <c r="F15" s="21" t="s">
        <v>47</v>
      </c>
      <c r="G15" s="21" t="s">
        <v>99</v>
      </c>
      <c r="H15" s="20" t="s">
        <v>125</v>
      </c>
      <c r="I15" s="21" t="n">
        <v>2</v>
      </c>
      <c r="J15" s="21" t="n">
        <v>0</v>
      </c>
      <c r="K15" s="21" t="n">
        <v>9</v>
      </c>
      <c r="L15" s="21" t="n">
        <v>3</v>
      </c>
      <c r="M15" s="21" t="n">
        <v>41</v>
      </c>
      <c r="N15" s="21" t="n">
        <v>63</v>
      </c>
      <c r="O15" s="21" t="n">
        <v>34</v>
      </c>
      <c r="P15" s="21" t="n">
        <v>12</v>
      </c>
      <c r="Q15" s="21" t="n">
        <v>22</v>
      </c>
      <c r="R15" s="21" t="n">
        <v>2</v>
      </c>
      <c r="S15" s="21" t="n">
        <v>5</v>
      </c>
      <c r="T15" s="21" t="n">
        <v>27</v>
      </c>
      <c r="U15" s="21" t="n">
        <v>18</v>
      </c>
      <c r="V15" s="21" t="n">
        <v>14</v>
      </c>
      <c r="W15" s="21" t="n">
        <v>19</v>
      </c>
      <c r="X15" s="22" t="n">
        <f aca="false">IF(OR(N15="",N15=0),"",M15/N15)</f>
        <v>0.650793650793651</v>
      </c>
      <c r="Y15" s="22" t="n">
        <f aca="false">IF(OR(M15="",M15=0),"",O15/M15)</f>
        <v>0.829268292682927</v>
      </c>
      <c r="Z15" s="22" t="n">
        <f aca="false">IF(OR(Q15="",Q15=0),"",P15/Q15)</f>
        <v>0.545454545454545</v>
      </c>
      <c r="AA15" s="22" t="n">
        <f aca="false">IF(OR(S15="",S15=0),"",R15/S15)</f>
        <v>0.4</v>
      </c>
      <c r="AB15" s="23" t="n">
        <f aca="false">IF(OR(T15="",U15=""),"",T15-U15)</f>
        <v>9</v>
      </c>
      <c r="AC15" s="22" t="n">
        <f aca="false">IF(OR(W15="",W15=0),"",V15/W15)</f>
        <v>0.736842105263158</v>
      </c>
      <c r="AD15" s="24" t="n">
        <f aca="false">IF(B15="","",MONTH(B15))</f>
        <v>6</v>
      </c>
    </row>
    <row r="16" customFormat="false" ht="15" hidden="false" customHeight="false" outlineLevel="0" collapsed="false">
      <c r="B16" s="19" t="n">
        <v>46187</v>
      </c>
      <c r="C16" s="20" t="s">
        <v>123</v>
      </c>
      <c r="D16" s="21" t="s">
        <v>112</v>
      </c>
      <c r="E16" s="20" t="s">
        <v>107</v>
      </c>
      <c r="F16" s="21" t="s">
        <v>47</v>
      </c>
      <c r="G16" s="21" t="s">
        <v>99</v>
      </c>
      <c r="H16" s="20" t="s">
        <v>126</v>
      </c>
      <c r="I16" s="21" t="n">
        <v>2</v>
      </c>
      <c r="J16" s="21" t="n">
        <v>0</v>
      </c>
      <c r="K16" s="21" t="n">
        <v>7</v>
      </c>
      <c r="L16" s="21" t="n">
        <v>2</v>
      </c>
      <c r="M16" s="21" t="n">
        <v>40</v>
      </c>
      <c r="N16" s="21" t="n">
        <v>58</v>
      </c>
      <c r="O16" s="21" t="n">
        <v>32</v>
      </c>
      <c r="P16" s="21" t="n">
        <v>11</v>
      </c>
      <c r="Q16" s="21" t="n">
        <v>18</v>
      </c>
      <c r="R16" s="21" t="n">
        <v>3</v>
      </c>
      <c r="S16" s="21" t="n">
        <v>6</v>
      </c>
      <c r="T16" s="21" t="n">
        <v>24</v>
      </c>
      <c r="U16" s="21" t="n">
        <v>16</v>
      </c>
      <c r="V16" s="21" t="n">
        <v>12</v>
      </c>
      <c r="W16" s="21" t="n">
        <v>16</v>
      </c>
      <c r="X16" s="22" t="n">
        <f aca="false">IF(OR(N16="",N16=0),"",M16/N16)</f>
        <v>0.689655172413793</v>
      </c>
      <c r="Y16" s="22" t="n">
        <f aca="false">IF(OR(M16="",M16=0),"",O16/M16)</f>
        <v>0.8</v>
      </c>
      <c r="Z16" s="22" t="n">
        <f aca="false">IF(OR(Q16="",Q16=0),"",P16/Q16)</f>
        <v>0.611111111111111</v>
      </c>
      <c r="AA16" s="22" t="n">
        <f aca="false">IF(OR(S16="",S16=0),"",R16/S16)</f>
        <v>0.5</v>
      </c>
      <c r="AB16" s="23" t="n">
        <f aca="false">IF(OR(T16="",U16=""),"",T16-U16)</f>
        <v>8</v>
      </c>
      <c r="AC16" s="22" t="n">
        <f aca="false">IF(OR(W16="",W16=0),"",V16/W16)</f>
        <v>0.75</v>
      </c>
      <c r="AD16" s="24" t="n">
        <f aca="false">IF(B16="","",MONTH(B16))</f>
        <v>6</v>
      </c>
    </row>
    <row r="17" customFormat="false" ht="15" hidden="false" customHeight="false" outlineLevel="0" collapsed="false">
      <c r="B17" s="19" t="n">
        <v>46188</v>
      </c>
      <c r="C17" s="20" t="s">
        <v>123</v>
      </c>
      <c r="D17" s="21" t="s">
        <v>120</v>
      </c>
      <c r="E17" s="20" t="s">
        <v>113</v>
      </c>
      <c r="F17" s="21" t="s">
        <v>47</v>
      </c>
      <c r="G17" s="21" t="s">
        <v>103</v>
      </c>
      <c r="H17" s="20" t="s">
        <v>127</v>
      </c>
      <c r="I17" s="21" t="n">
        <v>0</v>
      </c>
      <c r="J17" s="21" t="n">
        <v>2</v>
      </c>
      <c r="K17" s="21" t="n">
        <v>6</v>
      </c>
      <c r="L17" s="21" t="n">
        <v>4</v>
      </c>
      <c r="M17" s="21" t="n">
        <v>39</v>
      </c>
      <c r="N17" s="21" t="n">
        <v>65</v>
      </c>
      <c r="O17" s="21" t="n">
        <v>30</v>
      </c>
      <c r="P17" s="21" t="n">
        <v>12</v>
      </c>
      <c r="Q17" s="21" t="n">
        <v>26</v>
      </c>
      <c r="R17" s="21" t="n">
        <v>0</v>
      </c>
      <c r="S17" s="21" t="n">
        <v>4</v>
      </c>
      <c r="T17" s="21" t="n">
        <v>21</v>
      </c>
      <c r="U17" s="21" t="n">
        <v>22</v>
      </c>
      <c r="V17" s="21" t="n">
        <v>10</v>
      </c>
      <c r="W17" s="21" t="n">
        <v>17</v>
      </c>
      <c r="X17" s="22" t="n">
        <f aca="false">IF(OR(N17="",N17=0),"",M17/N17)</f>
        <v>0.6</v>
      </c>
      <c r="Y17" s="22" t="n">
        <f aca="false">IF(OR(M17="",M17=0),"",O17/M17)</f>
        <v>0.769230769230769</v>
      </c>
      <c r="Z17" s="22" t="n">
        <f aca="false">IF(OR(Q17="",Q17=0),"",P17/Q17)</f>
        <v>0.461538461538462</v>
      </c>
      <c r="AA17" s="22" t="n">
        <f aca="false">IF(OR(S17="",S17=0),"",R17/S17)</f>
        <v>0</v>
      </c>
      <c r="AB17" s="23" t="n">
        <f aca="false">IF(OR(T17="",U17=""),"",T17-U17)</f>
        <v>-1</v>
      </c>
      <c r="AC17" s="22" t="n">
        <f aca="false">IF(OR(W17="",W17=0),"",V17/W17)</f>
        <v>0.588235294117647</v>
      </c>
      <c r="AD17" s="24" t="n">
        <f aca="false">IF(B17="","",MONTH(B17))</f>
        <v>6</v>
      </c>
    </row>
    <row r="18" customFormat="false" ht="15" hidden="false" customHeight="false" outlineLevel="0" collapsed="false">
      <c r="B18" s="19" t="n">
        <v>46214</v>
      </c>
      <c r="C18" s="20" t="s">
        <v>128</v>
      </c>
      <c r="D18" s="21" t="s">
        <v>97</v>
      </c>
      <c r="E18" s="20" t="s">
        <v>110</v>
      </c>
      <c r="F18" s="21" t="s">
        <v>45</v>
      </c>
      <c r="G18" s="21" t="s">
        <v>99</v>
      </c>
      <c r="H18" s="20" t="s">
        <v>129</v>
      </c>
      <c r="I18" s="21" t="n">
        <v>2</v>
      </c>
      <c r="J18" s="21" t="n">
        <v>0</v>
      </c>
      <c r="K18" s="21" t="n">
        <v>6</v>
      </c>
      <c r="L18" s="21" t="n">
        <v>1</v>
      </c>
      <c r="M18" s="21" t="n">
        <v>35</v>
      </c>
      <c r="N18" s="21" t="n">
        <v>51</v>
      </c>
      <c r="O18" s="21" t="n">
        <v>28</v>
      </c>
      <c r="P18" s="21" t="n">
        <v>11</v>
      </c>
      <c r="Q18" s="21" t="n">
        <v>16</v>
      </c>
      <c r="R18" s="21" t="n">
        <v>5</v>
      </c>
      <c r="S18" s="21" t="n">
        <v>8</v>
      </c>
      <c r="T18" s="21" t="n">
        <v>21</v>
      </c>
      <c r="U18" s="21" t="n">
        <v>12</v>
      </c>
      <c r="V18" s="21" t="n">
        <v>8</v>
      </c>
      <c r="W18" s="21" t="n">
        <v>10</v>
      </c>
      <c r="X18" s="22" t="n">
        <f aca="false">IF(OR(N18="",N18=0),"",M18/N18)</f>
        <v>0.686274509803922</v>
      </c>
      <c r="Y18" s="22" t="n">
        <f aca="false">IF(OR(M18="",M18=0),"",O18/M18)</f>
        <v>0.8</v>
      </c>
      <c r="Z18" s="22" t="n">
        <f aca="false">IF(OR(Q18="",Q18=0),"",P18/Q18)</f>
        <v>0.6875</v>
      </c>
      <c r="AA18" s="22" t="n">
        <f aca="false">IF(OR(S18="",S18=0),"",R18/S18)</f>
        <v>0.625</v>
      </c>
      <c r="AB18" s="23" t="n">
        <f aca="false">IF(OR(T18="",U18=""),"",T18-U18)</f>
        <v>9</v>
      </c>
      <c r="AC18" s="22" t="n">
        <f aca="false">IF(OR(W18="",W18=0),"",V18/W18)</f>
        <v>0.8</v>
      </c>
      <c r="AD18" s="24" t="n">
        <f aca="false">IF(B18="","",MONTH(B18))</f>
        <v>7</v>
      </c>
    </row>
    <row r="19" customFormat="false" ht="15" hidden="false" customHeight="false" outlineLevel="0" collapsed="false">
      <c r="B19" s="19" t="n">
        <v>46256</v>
      </c>
      <c r="C19" s="20" t="s">
        <v>128</v>
      </c>
      <c r="D19" s="21" t="s">
        <v>112</v>
      </c>
      <c r="E19" s="20" t="s">
        <v>121</v>
      </c>
      <c r="F19" s="21" t="s">
        <v>45</v>
      </c>
      <c r="G19" s="21" t="s">
        <v>99</v>
      </c>
      <c r="H19" s="20" t="s">
        <v>130</v>
      </c>
      <c r="I19" s="21" t="n">
        <v>2</v>
      </c>
      <c r="J19" s="21" t="n">
        <v>1</v>
      </c>
      <c r="K19" s="21" t="n">
        <v>4</v>
      </c>
      <c r="L19" s="21" t="n">
        <v>3</v>
      </c>
      <c r="M19" s="21" t="n">
        <v>50</v>
      </c>
      <c r="N19" s="21" t="n">
        <v>78</v>
      </c>
      <c r="O19" s="21" t="n">
        <v>35</v>
      </c>
      <c r="P19" s="21" t="n">
        <v>16</v>
      </c>
      <c r="Q19" s="21" t="n">
        <v>28</v>
      </c>
      <c r="R19" s="21" t="n">
        <v>5</v>
      </c>
      <c r="S19" s="21" t="n">
        <v>11</v>
      </c>
      <c r="T19" s="21" t="n">
        <v>25</v>
      </c>
      <c r="U19" s="21" t="n">
        <v>24</v>
      </c>
      <c r="V19" s="21" t="n">
        <v>9</v>
      </c>
      <c r="W19" s="21" t="n">
        <v>13</v>
      </c>
      <c r="X19" s="22" t="n">
        <f aca="false">IF(OR(N19="",N19=0),"",M19/N19)</f>
        <v>0.641025641025641</v>
      </c>
      <c r="Y19" s="22" t="n">
        <f aca="false">IF(OR(M19="",M19=0),"",O19/M19)</f>
        <v>0.7</v>
      </c>
      <c r="Z19" s="22" t="n">
        <f aca="false">IF(OR(Q19="",Q19=0),"",P19/Q19)</f>
        <v>0.571428571428571</v>
      </c>
      <c r="AA19" s="22" t="n">
        <f aca="false">IF(OR(S19="",S19=0),"",R19/S19)</f>
        <v>0.454545454545455</v>
      </c>
      <c r="AB19" s="23" t="n">
        <f aca="false">IF(OR(T19="",U19=""),"",T19-U19)</f>
        <v>1</v>
      </c>
      <c r="AC19" s="22" t="n">
        <f aca="false">IF(OR(W19="",W19=0),"",V19/W19)</f>
        <v>0.692307692307692</v>
      </c>
      <c r="AD19" s="24" t="n">
        <f aca="false">IF(B19="","",MONTH(B19))</f>
        <v>8</v>
      </c>
    </row>
    <row r="20" customFormat="false" ht="15" hidden="false" customHeight="false" outlineLevel="0" collapsed="false">
      <c r="B20" s="19" t="n">
        <v>46284</v>
      </c>
      <c r="C20" s="20" t="s">
        <v>131</v>
      </c>
      <c r="D20" s="21" t="s">
        <v>120</v>
      </c>
      <c r="E20" s="20" t="s">
        <v>117</v>
      </c>
      <c r="F20" s="21" t="s">
        <v>48</v>
      </c>
      <c r="G20" s="21" t="s">
        <v>99</v>
      </c>
      <c r="H20" s="20" t="s">
        <v>132</v>
      </c>
      <c r="I20" s="21" t="n">
        <v>2</v>
      </c>
      <c r="J20" s="21" t="n">
        <v>0</v>
      </c>
      <c r="K20" s="21" t="n">
        <v>5</v>
      </c>
      <c r="L20" s="21" t="n">
        <v>2</v>
      </c>
      <c r="M20" s="21" t="n">
        <v>37</v>
      </c>
      <c r="N20" s="21" t="n">
        <v>55</v>
      </c>
      <c r="O20" s="21" t="n">
        <v>28</v>
      </c>
      <c r="P20" s="21" t="n">
        <v>11</v>
      </c>
      <c r="Q20" s="21" t="n">
        <v>18</v>
      </c>
      <c r="R20" s="21" t="n">
        <v>4</v>
      </c>
      <c r="S20" s="21" t="n">
        <v>8</v>
      </c>
      <c r="T20" s="21" t="n">
        <v>22</v>
      </c>
      <c r="U20" s="21" t="n">
        <v>15</v>
      </c>
      <c r="V20" s="21" t="n">
        <v>8</v>
      </c>
      <c r="W20" s="21" t="n">
        <v>11</v>
      </c>
      <c r="X20" s="22" t="n">
        <f aca="false">IF(OR(N20="",N20=0),"",M20/N20)</f>
        <v>0.672727272727273</v>
      </c>
      <c r="Y20" s="22" t="n">
        <f aca="false">IF(OR(M20="",M20=0),"",O20/M20)</f>
        <v>0.756756756756757</v>
      </c>
      <c r="Z20" s="22" t="n">
        <f aca="false">IF(OR(Q20="",Q20=0),"",P20/Q20)</f>
        <v>0.611111111111111</v>
      </c>
      <c r="AA20" s="22" t="n">
        <f aca="false">IF(OR(S20="",S20=0),"",R20/S20)</f>
        <v>0.5</v>
      </c>
      <c r="AB20" s="23" t="n">
        <f aca="false">IF(OR(T20="",U20=""),"",T20-U20)</f>
        <v>7</v>
      </c>
      <c r="AC20" s="22" t="n">
        <f aca="false">IF(OR(W20="",W20=0),"",V20/W20)</f>
        <v>0.727272727272727</v>
      </c>
      <c r="AD20" s="24" t="n">
        <f aca="false">IF(B20="","",MONTH(B20))</f>
        <v>9</v>
      </c>
    </row>
    <row r="21" customFormat="false" ht="15" hidden="false" customHeight="false" outlineLevel="0" collapsed="false">
      <c r="B21" s="19" t="n">
        <v>46305</v>
      </c>
      <c r="C21" s="20" t="s">
        <v>131</v>
      </c>
      <c r="D21" s="21" t="s">
        <v>133</v>
      </c>
      <c r="E21" s="20" t="s">
        <v>102</v>
      </c>
      <c r="F21" s="21" t="s">
        <v>48</v>
      </c>
      <c r="G21" s="21" t="s">
        <v>99</v>
      </c>
      <c r="H21" s="20" t="s">
        <v>134</v>
      </c>
      <c r="I21" s="21" t="n">
        <v>2</v>
      </c>
      <c r="J21" s="21" t="n">
        <v>0</v>
      </c>
      <c r="K21" s="21" t="n">
        <v>6</v>
      </c>
      <c r="L21" s="21" t="n">
        <v>2</v>
      </c>
      <c r="M21" s="21" t="n">
        <v>42</v>
      </c>
      <c r="N21" s="21" t="n">
        <v>63</v>
      </c>
      <c r="O21" s="21" t="n">
        <v>32</v>
      </c>
      <c r="P21" s="21" t="n">
        <v>13</v>
      </c>
      <c r="Q21" s="21" t="n">
        <v>21</v>
      </c>
      <c r="R21" s="21" t="n">
        <v>3</v>
      </c>
      <c r="S21" s="21" t="n">
        <v>7</v>
      </c>
      <c r="T21" s="21" t="n">
        <v>24</v>
      </c>
      <c r="U21" s="21" t="n">
        <v>19</v>
      </c>
      <c r="V21" s="21" t="n">
        <v>9</v>
      </c>
      <c r="W21" s="21" t="n">
        <v>13</v>
      </c>
      <c r="X21" s="22" t="n">
        <f aca="false">IF(OR(N21="",N21=0),"",M21/N21)</f>
        <v>0.666666666666667</v>
      </c>
      <c r="Y21" s="22" t="n">
        <f aca="false">IF(OR(M21="",M21=0),"",O21/M21)</f>
        <v>0.761904761904762</v>
      </c>
      <c r="Z21" s="22" t="n">
        <f aca="false">IF(OR(Q21="",Q21=0),"",P21/Q21)</f>
        <v>0.619047619047619</v>
      </c>
      <c r="AA21" s="22" t="n">
        <f aca="false">IF(OR(S21="",S21=0),"",R21/S21)</f>
        <v>0.428571428571429</v>
      </c>
      <c r="AB21" s="23" t="n">
        <f aca="false">IF(OR(T21="",U21=""),"",T21-U21)</f>
        <v>5</v>
      </c>
      <c r="AC21" s="22" t="n">
        <f aca="false">IF(OR(W21="",W21=0),"",V21/W21)</f>
        <v>0.692307692307692</v>
      </c>
      <c r="AD21" s="24" t="n">
        <f aca="false">IF(B21="","",MONTH(B21))</f>
        <v>10</v>
      </c>
    </row>
    <row r="22" customFormat="false" ht="15" hidden="false" customHeight="false" outlineLevel="0" collapsed="false">
      <c r="B22" s="19"/>
      <c r="C22" s="20"/>
      <c r="D22" s="21"/>
      <c r="E22" s="20"/>
      <c r="F22" s="21"/>
      <c r="G22" s="21"/>
      <c r="H22" s="20"/>
      <c r="I22" s="21"/>
      <c r="J22" s="21"/>
      <c r="K22" s="21"/>
      <c r="L22" s="21"/>
      <c r="M22" s="21"/>
      <c r="N22" s="21"/>
      <c r="O22" s="21"/>
      <c r="P22" s="21"/>
      <c r="Q22" s="21"/>
      <c r="R22" s="21"/>
      <c r="S22" s="21"/>
      <c r="T22" s="21"/>
      <c r="U22" s="21"/>
      <c r="V22" s="21"/>
      <c r="W22" s="21"/>
      <c r="X22" s="22" t="str">
        <f aca="false">IF(OR(N22="",N22=0),"",M22/N22)</f>
        <v/>
      </c>
      <c r="Y22" s="22" t="str">
        <f aca="false">IF(OR(M22="",M22=0),"",O22/M22)</f>
        <v/>
      </c>
      <c r="Z22" s="22" t="str">
        <f aca="false">IF(OR(Q22="",Q22=0),"",P22/Q22)</f>
        <v/>
      </c>
      <c r="AA22" s="22" t="str">
        <f aca="false">IF(OR(S22="",S22=0),"",R22/S22)</f>
        <v/>
      </c>
      <c r="AB22" s="23" t="str">
        <f aca="false">IF(OR(T22="",U22=""),"",T22-U22)</f>
        <v/>
      </c>
      <c r="AC22" s="22" t="str">
        <f aca="false">IF(OR(W22="",W22=0),"",V22/W22)</f>
        <v/>
      </c>
      <c r="AD22" s="24" t="str">
        <f aca="false">IF(B22="","",MONTH(B22))</f>
        <v/>
      </c>
    </row>
    <row r="23" customFormat="false" ht="15" hidden="false" customHeight="false" outlineLevel="0" collapsed="false">
      <c r="B23" s="19"/>
      <c r="C23" s="20"/>
      <c r="D23" s="21"/>
      <c r="E23" s="20"/>
      <c r="F23" s="21"/>
      <c r="G23" s="21"/>
      <c r="H23" s="20"/>
      <c r="I23" s="21"/>
      <c r="J23" s="21"/>
      <c r="K23" s="21"/>
      <c r="L23" s="21"/>
      <c r="M23" s="21"/>
      <c r="N23" s="21"/>
      <c r="O23" s="21"/>
      <c r="P23" s="21"/>
      <c r="Q23" s="21"/>
      <c r="R23" s="21"/>
      <c r="S23" s="21"/>
      <c r="T23" s="21"/>
      <c r="U23" s="21"/>
      <c r="V23" s="21"/>
      <c r="W23" s="21"/>
      <c r="X23" s="22" t="str">
        <f aca="false">IF(OR(N23="",N23=0),"",M23/N23)</f>
        <v/>
      </c>
      <c r="Y23" s="22" t="str">
        <f aca="false">IF(OR(M23="",M23=0),"",O23/M23)</f>
        <v/>
      </c>
      <c r="Z23" s="22" t="str">
        <f aca="false">IF(OR(Q23="",Q23=0),"",P23/Q23)</f>
        <v/>
      </c>
      <c r="AA23" s="22" t="str">
        <f aca="false">IF(OR(S23="",S23=0),"",R23/S23)</f>
        <v/>
      </c>
      <c r="AB23" s="23" t="str">
        <f aca="false">IF(OR(T23="",U23=""),"",T23-U23)</f>
        <v/>
      </c>
      <c r="AC23" s="22" t="str">
        <f aca="false">IF(OR(W23="",W23=0),"",V23/W23)</f>
        <v/>
      </c>
      <c r="AD23" s="24" t="str">
        <f aca="false">IF(B23="","",MONTH(B23))</f>
        <v/>
      </c>
    </row>
    <row r="24" customFormat="false" ht="15" hidden="false" customHeight="false" outlineLevel="0" collapsed="false">
      <c r="B24" s="19"/>
      <c r="C24" s="20"/>
      <c r="D24" s="21"/>
      <c r="E24" s="20"/>
      <c r="F24" s="21"/>
      <c r="G24" s="21"/>
      <c r="H24" s="20"/>
      <c r="I24" s="21"/>
      <c r="J24" s="21"/>
      <c r="K24" s="21"/>
      <c r="L24" s="21"/>
      <c r="M24" s="21"/>
      <c r="N24" s="21"/>
      <c r="O24" s="21"/>
      <c r="P24" s="21"/>
      <c r="Q24" s="21"/>
      <c r="R24" s="21"/>
      <c r="S24" s="21"/>
      <c r="T24" s="21"/>
      <c r="U24" s="21"/>
      <c r="V24" s="21"/>
      <c r="W24" s="21"/>
      <c r="X24" s="22" t="str">
        <f aca="false">IF(OR(N24="",N24=0),"",M24/N24)</f>
        <v/>
      </c>
      <c r="Y24" s="22" t="str">
        <f aca="false">IF(OR(M24="",M24=0),"",O24/M24)</f>
        <v/>
      </c>
      <c r="Z24" s="22" t="str">
        <f aca="false">IF(OR(Q24="",Q24=0),"",P24/Q24)</f>
        <v/>
      </c>
      <c r="AA24" s="22" t="str">
        <f aca="false">IF(OR(S24="",S24=0),"",R24/S24)</f>
        <v/>
      </c>
      <c r="AB24" s="23" t="str">
        <f aca="false">IF(OR(T24="",U24=""),"",T24-U24)</f>
        <v/>
      </c>
      <c r="AC24" s="22" t="str">
        <f aca="false">IF(OR(W24="",W24=0),"",V24/W24)</f>
        <v/>
      </c>
      <c r="AD24" s="24" t="str">
        <f aca="false">IF(B24="","",MONTH(B24))</f>
        <v/>
      </c>
    </row>
    <row r="25" customFormat="false" ht="15" hidden="false" customHeight="false" outlineLevel="0" collapsed="false">
      <c r="B25" s="19"/>
      <c r="C25" s="20"/>
      <c r="D25" s="21"/>
      <c r="E25" s="20"/>
      <c r="F25" s="21"/>
      <c r="G25" s="21"/>
      <c r="H25" s="20"/>
      <c r="I25" s="21"/>
      <c r="J25" s="21"/>
      <c r="K25" s="21"/>
      <c r="L25" s="21"/>
      <c r="M25" s="21"/>
      <c r="N25" s="21"/>
      <c r="O25" s="21"/>
      <c r="P25" s="21"/>
      <c r="Q25" s="21"/>
      <c r="R25" s="21"/>
      <c r="S25" s="21"/>
      <c r="T25" s="21"/>
      <c r="U25" s="21"/>
      <c r="V25" s="21"/>
      <c r="W25" s="21"/>
      <c r="X25" s="22" t="str">
        <f aca="false">IF(OR(N25="",N25=0),"",M25/N25)</f>
        <v/>
      </c>
      <c r="Y25" s="22" t="str">
        <f aca="false">IF(OR(M25="",M25=0),"",O25/M25)</f>
        <v/>
      </c>
      <c r="Z25" s="22" t="str">
        <f aca="false">IF(OR(Q25="",Q25=0),"",P25/Q25)</f>
        <v/>
      </c>
      <c r="AA25" s="22" t="str">
        <f aca="false">IF(OR(S25="",S25=0),"",R25/S25)</f>
        <v/>
      </c>
      <c r="AB25" s="23" t="str">
        <f aca="false">IF(OR(T25="",U25=""),"",T25-U25)</f>
        <v/>
      </c>
      <c r="AC25" s="22" t="str">
        <f aca="false">IF(OR(W25="",W25=0),"",V25/W25)</f>
        <v/>
      </c>
      <c r="AD25" s="24" t="str">
        <f aca="false">IF(B25="","",MONTH(B25))</f>
        <v/>
      </c>
    </row>
    <row r="26" customFormat="false" ht="15" hidden="false" customHeight="false" outlineLevel="0" collapsed="false">
      <c r="B26" s="19"/>
      <c r="C26" s="20"/>
      <c r="D26" s="21"/>
      <c r="E26" s="20"/>
      <c r="F26" s="21"/>
      <c r="G26" s="21"/>
      <c r="H26" s="20"/>
      <c r="I26" s="21"/>
      <c r="J26" s="21"/>
      <c r="K26" s="21"/>
      <c r="L26" s="21"/>
      <c r="M26" s="21"/>
      <c r="N26" s="21"/>
      <c r="O26" s="21"/>
      <c r="P26" s="21"/>
      <c r="Q26" s="21"/>
      <c r="R26" s="21"/>
      <c r="S26" s="21"/>
      <c r="T26" s="21"/>
      <c r="U26" s="21"/>
      <c r="V26" s="21"/>
      <c r="W26" s="21"/>
      <c r="X26" s="22" t="str">
        <f aca="false">IF(OR(N26="",N26=0),"",M26/N26)</f>
        <v/>
      </c>
      <c r="Y26" s="22" t="str">
        <f aca="false">IF(OR(M26="",M26=0),"",O26/M26)</f>
        <v/>
      </c>
      <c r="Z26" s="22" t="str">
        <f aca="false">IF(OR(Q26="",Q26=0),"",P26/Q26)</f>
        <v/>
      </c>
      <c r="AA26" s="22" t="str">
        <f aca="false">IF(OR(S26="",S26=0),"",R26/S26)</f>
        <v/>
      </c>
      <c r="AB26" s="23" t="str">
        <f aca="false">IF(OR(T26="",U26=""),"",T26-U26)</f>
        <v/>
      </c>
      <c r="AC26" s="22" t="str">
        <f aca="false">IF(OR(W26="",W26=0),"",V26/W26)</f>
        <v/>
      </c>
      <c r="AD26" s="24" t="str">
        <f aca="false">IF(B26="","",MONTH(B26))</f>
        <v/>
      </c>
    </row>
    <row r="27" customFormat="false" ht="15" hidden="false" customHeight="false" outlineLevel="0" collapsed="false">
      <c r="B27" s="19"/>
      <c r="C27" s="20"/>
      <c r="D27" s="21"/>
      <c r="E27" s="20"/>
      <c r="F27" s="21"/>
      <c r="G27" s="21"/>
      <c r="H27" s="20"/>
      <c r="I27" s="21"/>
      <c r="J27" s="21"/>
      <c r="K27" s="21"/>
      <c r="L27" s="21"/>
      <c r="M27" s="21"/>
      <c r="N27" s="21"/>
      <c r="O27" s="21"/>
      <c r="P27" s="21"/>
      <c r="Q27" s="21"/>
      <c r="R27" s="21"/>
      <c r="S27" s="21"/>
      <c r="T27" s="21"/>
      <c r="U27" s="21"/>
      <c r="V27" s="21"/>
      <c r="W27" s="21"/>
      <c r="X27" s="22" t="str">
        <f aca="false">IF(OR(N27="",N27=0),"",M27/N27)</f>
        <v/>
      </c>
      <c r="Y27" s="22" t="str">
        <f aca="false">IF(OR(M27="",M27=0),"",O27/M27)</f>
        <v/>
      </c>
      <c r="Z27" s="22" t="str">
        <f aca="false">IF(OR(Q27="",Q27=0),"",P27/Q27)</f>
        <v/>
      </c>
      <c r="AA27" s="22" t="str">
        <f aca="false">IF(OR(S27="",S27=0),"",R27/S27)</f>
        <v/>
      </c>
      <c r="AB27" s="23" t="str">
        <f aca="false">IF(OR(T27="",U27=""),"",T27-U27)</f>
        <v/>
      </c>
      <c r="AC27" s="22" t="str">
        <f aca="false">IF(OR(W27="",W27=0),"",V27/W27)</f>
        <v/>
      </c>
      <c r="AD27" s="24" t="str">
        <f aca="false">IF(B27="","",MONTH(B27))</f>
        <v/>
      </c>
    </row>
    <row r="28" customFormat="false" ht="15" hidden="false" customHeight="false" outlineLevel="0" collapsed="false">
      <c r="B28" s="19"/>
      <c r="C28" s="20"/>
      <c r="D28" s="21"/>
      <c r="E28" s="20"/>
      <c r="F28" s="21"/>
      <c r="G28" s="21"/>
      <c r="H28" s="20"/>
      <c r="I28" s="21"/>
      <c r="J28" s="21"/>
      <c r="K28" s="21"/>
      <c r="L28" s="21"/>
      <c r="M28" s="21"/>
      <c r="N28" s="21"/>
      <c r="O28" s="21"/>
      <c r="P28" s="21"/>
      <c r="Q28" s="21"/>
      <c r="R28" s="21"/>
      <c r="S28" s="21"/>
      <c r="T28" s="21"/>
      <c r="U28" s="21"/>
      <c r="V28" s="21"/>
      <c r="W28" s="21"/>
      <c r="X28" s="22" t="str">
        <f aca="false">IF(OR(N28="",N28=0),"",M28/N28)</f>
        <v/>
      </c>
      <c r="Y28" s="22" t="str">
        <f aca="false">IF(OR(M28="",M28=0),"",O28/M28)</f>
        <v/>
      </c>
      <c r="Z28" s="22" t="str">
        <f aca="false">IF(OR(Q28="",Q28=0),"",P28/Q28)</f>
        <v/>
      </c>
      <c r="AA28" s="22" t="str">
        <f aca="false">IF(OR(S28="",S28=0),"",R28/S28)</f>
        <v/>
      </c>
      <c r="AB28" s="23" t="str">
        <f aca="false">IF(OR(T28="",U28=""),"",T28-U28)</f>
        <v/>
      </c>
      <c r="AC28" s="22" t="str">
        <f aca="false">IF(OR(W28="",W28=0),"",V28/W28)</f>
        <v/>
      </c>
      <c r="AD28" s="24" t="str">
        <f aca="false">IF(B28="","",MONTH(B28))</f>
        <v/>
      </c>
    </row>
    <row r="29" customFormat="false" ht="15" hidden="false" customHeight="false" outlineLevel="0" collapsed="false">
      <c r="B29" s="19"/>
      <c r="C29" s="20"/>
      <c r="D29" s="21"/>
      <c r="E29" s="20"/>
      <c r="F29" s="21"/>
      <c r="G29" s="21"/>
      <c r="H29" s="20"/>
      <c r="I29" s="21"/>
      <c r="J29" s="21"/>
      <c r="K29" s="21"/>
      <c r="L29" s="21"/>
      <c r="M29" s="21"/>
      <c r="N29" s="21"/>
      <c r="O29" s="21"/>
      <c r="P29" s="21"/>
      <c r="Q29" s="21"/>
      <c r="R29" s="21"/>
      <c r="S29" s="21"/>
      <c r="T29" s="21"/>
      <c r="U29" s="21"/>
      <c r="V29" s="21"/>
      <c r="W29" s="21"/>
      <c r="X29" s="22" t="str">
        <f aca="false">IF(OR(N29="",N29=0),"",M29/N29)</f>
        <v/>
      </c>
      <c r="Y29" s="22" t="str">
        <f aca="false">IF(OR(M29="",M29=0),"",O29/M29)</f>
        <v/>
      </c>
      <c r="Z29" s="22" t="str">
        <f aca="false">IF(OR(Q29="",Q29=0),"",P29/Q29)</f>
        <v/>
      </c>
      <c r="AA29" s="22" t="str">
        <f aca="false">IF(OR(S29="",S29=0),"",R29/S29)</f>
        <v/>
      </c>
      <c r="AB29" s="23" t="str">
        <f aca="false">IF(OR(T29="",U29=""),"",T29-U29)</f>
        <v/>
      </c>
      <c r="AC29" s="22" t="str">
        <f aca="false">IF(OR(W29="",W29=0),"",V29/W29)</f>
        <v/>
      </c>
      <c r="AD29" s="24" t="str">
        <f aca="false">IF(B29="","",MONTH(B29))</f>
        <v/>
      </c>
    </row>
    <row r="30" customFormat="false" ht="15" hidden="false" customHeight="false" outlineLevel="0" collapsed="false">
      <c r="B30" s="19"/>
      <c r="C30" s="20"/>
      <c r="D30" s="21"/>
      <c r="E30" s="20"/>
      <c r="F30" s="21"/>
      <c r="G30" s="21"/>
      <c r="H30" s="20"/>
      <c r="I30" s="21"/>
      <c r="J30" s="21"/>
      <c r="K30" s="21"/>
      <c r="L30" s="21"/>
      <c r="M30" s="21"/>
      <c r="N30" s="21"/>
      <c r="O30" s="21"/>
      <c r="P30" s="21"/>
      <c r="Q30" s="21"/>
      <c r="R30" s="21"/>
      <c r="S30" s="21"/>
      <c r="T30" s="21"/>
      <c r="U30" s="21"/>
      <c r="V30" s="21"/>
      <c r="W30" s="21"/>
      <c r="X30" s="22" t="str">
        <f aca="false">IF(OR(N30="",N30=0),"",M30/N30)</f>
        <v/>
      </c>
      <c r="Y30" s="22" t="str">
        <f aca="false">IF(OR(M30="",M30=0),"",O30/M30)</f>
        <v/>
      </c>
      <c r="Z30" s="22" t="str">
        <f aca="false">IF(OR(Q30="",Q30=0),"",P30/Q30)</f>
        <v/>
      </c>
      <c r="AA30" s="22" t="str">
        <f aca="false">IF(OR(S30="",S30=0),"",R30/S30)</f>
        <v/>
      </c>
      <c r="AB30" s="23" t="str">
        <f aca="false">IF(OR(T30="",U30=""),"",T30-U30)</f>
        <v/>
      </c>
      <c r="AC30" s="22" t="str">
        <f aca="false">IF(OR(W30="",W30=0),"",V30/W30)</f>
        <v/>
      </c>
      <c r="AD30" s="24" t="str">
        <f aca="false">IF(B30="","",MONTH(B30))</f>
        <v/>
      </c>
    </row>
    <row r="31" customFormat="false" ht="15" hidden="false" customHeight="false" outlineLevel="0" collapsed="false">
      <c r="B31" s="19"/>
      <c r="C31" s="20"/>
      <c r="D31" s="21"/>
      <c r="E31" s="20"/>
      <c r="F31" s="21"/>
      <c r="G31" s="21"/>
      <c r="H31" s="20"/>
      <c r="I31" s="21"/>
      <c r="J31" s="21"/>
      <c r="K31" s="21"/>
      <c r="L31" s="21"/>
      <c r="M31" s="21"/>
      <c r="N31" s="21"/>
      <c r="O31" s="21"/>
      <c r="P31" s="21"/>
      <c r="Q31" s="21"/>
      <c r="R31" s="21"/>
      <c r="S31" s="21"/>
      <c r="T31" s="21"/>
      <c r="U31" s="21"/>
      <c r="V31" s="21"/>
      <c r="W31" s="21"/>
      <c r="X31" s="22" t="str">
        <f aca="false">IF(OR(N31="",N31=0),"",M31/N31)</f>
        <v/>
      </c>
      <c r="Y31" s="22" t="str">
        <f aca="false">IF(OR(M31="",M31=0),"",O31/M31)</f>
        <v/>
      </c>
      <c r="Z31" s="22" t="str">
        <f aca="false">IF(OR(Q31="",Q31=0),"",P31/Q31)</f>
        <v/>
      </c>
      <c r="AA31" s="22" t="str">
        <f aca="false">IF(OR(S31="",S31=0),"",R31/S31)</f>
        <v/>
      </c>
      <c r="AB31" s="23" t="str">
        <f aca="false">IF(OR(T31="",U31=""),"",T31-U31)</f>
        <v/>
      </c>
      <c r="AC31" s="22" t="str">
        <f aca="false">IF(OR(W31="",W31=0),"",V31/W31)</f>
        <v/>
      </c>
      <c r="AD31" s="24" t="str">
        <f aca="false">IF(B31="","",MONTH(B31))</f>
        <v/>
      </c>
    </row>
    <row r="32" customFormat="false" ht="15" hidden="false" customHeight="false" outlineLevel="0" collapsed="false">
      <c r="B32" s="19"/>
      <c r="C32" s="20"/>
      <c r="D32" s="21"/>
      <c r="E32" s="20"/>
      <c r="F32" s="21"/>
      <c r="G32" s="21"/>
      <c r="H32" s="20"/>
      <c r="I32" s="21"/>
      <c r="J32" s="21"/>
      <c r="K32" s="21"/>
      <c r="L32" s="21"/>
      <c r="M32" s="21"/>
      <c r="N32" s="21"/>
      <c r="O32" s="21"/>
      <c r="P32" s="21"/>
      <c r="Q32" s="21"/>
      <c r="R32" s="21"/>
      <c r="S32" s="21"/>
      <c r="T32" s="21"/>
      <c r="U32" s="21"/>
      <c r="V32" s="21"/>
      <c r="W32" s="21"/>
      <c r="X32" s="22" t="str">
        <f aca="false">IF(OR(N32="",N32=0),"",M32/N32)</f>
        <v/>
      </c>
      <c r="Y32" s="22" t="str">
        <f aca="false">IF(OR(M32="",M32=0),"",O32/M32)</f>
        <v/>
      </c>
      <c r="Z32" s="22" t="str">
        <f aca="false">IF(OR(Q32="",Q32=0),"",P32/Q32)</f>
        <v/>
      </c>
      <c r="AA32" s="22" t="str">
        <f aca="false">IF(OR(S32="",S32=0),"",R32/S32)</f>
        <v/>
      </c>
      <c r="AB32" s="23" t="str">
        <f aca="false">IF(OR(T32="",U32=""),"",T32-U32)</f>
        <v/>
      </c>
      <c r="AC32" s="22" t="str">
        <f aca="false">IF(OR(W32="",W32=0),"",V32/W32)</f>
        <v/>
      </c>
      <c r="AD32" s="24" t="str">
        <f aca="false">IF(B32="","",MONTH(B32))</f>
        <v/>
      </c>
    </row>
    <row r="33" customFormat="false" ht="15" hidden="false" customHeight="false" outlineLevel="0" collapsed="false">
      <c r="B33" s="19"/>
      <c r="C33" s="20"/>
      <c r="D33" s="21"/>
      <c r="E33" s="20"/>
      <c r="F33" s="21"/>
      <c r="G33" s="21"/>
      <c r="H33" s="20"/>
      <c r="I33" s="21"/>
      <c r="J33" s="21"/>
      <c r="K33" s="21"/>
      <c r="L33" s="21"/>
      <c r="M33" s="21"/>
      <c r="N33" s="21"/>
      <c r="O33" s="21"/>
      <c r="P33" s="21"/>
      <c r="Q33" s="21"/>
      <c r="R33" s="21"/>
      <c r="S33" s="21"/>
      <c r="T33" s="21"/>
      <c r="U33" s="21"/>
      <c r="V33" s="21"/>
      <c r="W33" s="21"/>
      <c r="X33" s="22" t="str">
        <f aca="false">IF(OR(N33="",N33=0),"",M33/N33)</f>
        <v/>
      </c>
      <c r="Y33" s="22" t="str">
        <f aca="false">IF(OR(M33="",M33=0),"",O33/M33)</f>
        <v/>
      </c>
      <c r="Z33" s="22" t="str">
        <f aca="false">IF(OR(Q33="",Q33=0),"",P33/Q33)</f>
        <v/>
      </c>
      <c r="AA33" s="22" t="str">
        <f aca="false">IF(OR(S33="",S33=0),"",R33/S33)</f>
        <v/>
      </c>
      <c r="AB33" s="23" t="str">
        <f aca="false">IF(OR(T33="",U33=""),"",T33-U33)</f>
        <v/>
      </c>
      <c r="AC33" s="22" t="str">
        <f aca="false">IF(OR(W33="",W33=0),"",V33/W33)</f>
        <v/>
      </c>
      <c r="AD33" s="24" t="str">
        <f aca="false">IF(B33="","",MONTH(B33))</f>
        <v/>
      </c>
    </row>
    <row r="34" customFormat="false" ht="15" hidden="false" customHeight="false" outlineLevel="0" collapsed="false">
      <c r="B34" s="19"/>
      <c r="C34" s="20"/>
      <c r="D34" s="21"/>
      <c r="E34" s="20"/>
      <c r="F34" s="21"/>
      <c r="G34" s="21"/>
      <c r="H34" s="20"/>
      <c r="I34" s="21"/>
      <c r="J34" s="21"/>
      <c r="K34" s="21"/>
      <c r="L34" s="21"/>
      <c r="M34" s="21"/>
      <c r="N34" s="21"/>
      <c r="O34" s="21"/>
      <c r="P34" s="21"/>
      <c r="Q34" s="21"/>
      <c r="R34" s="21"/>
      <c r="S34" s="21"/>
      <c r="T34" s="21"/>
      <c r="U34" s="21"/>
      <c r="V34" s="21"/>
      <c r="W34" s="21"/>
      <c r="X34" s="22" t="str">
        <f aca="false">IF(OR(N34="",N34=0),"",M34/N34)</f>
        <v/>
      </c>
      <c r="Y34" s="22" t="str">
        <f aca="false">IF(OR(M34="",M34=0),"",O34/M34)</f>
        <v/>
      </c>
      <c r="Z34" s="22" t="str">
        <f aca="false">IF(OR(Q34="",Q34=0),"",P34/Q34)</f>
        <v/>
      </c>
      <c r="AA34" s="22" t="str">
        <f aca="false">IF(OR(S34="",S34=0),"",R34/S34)</f>
        <v/>
      </c>
      <c r="AB34" s="23" t="str">
        <f aca="false">IF(OR(T34="",U34=""),"",T34-U34)</f>
        <v/>
      </c>
      <c r="AC34" s="22" t="str">
        <f aca="false">IF(OR(W34="",W34=0),"",V34/W34)</f>
        <v/>
      </c>
      <c r="AD34" s="24" t="str">
        <f aca="false">IF(B34="","",MONTH(B34))</f>
        <v/>
      </c>
    </row>
    <row r="35" customFormat="false" ht="15" hidden="false" customHeight="false" outlineLevel="0" collapsed="false">
      <c r="B35" s="19"/>
      <c r="C35" s="20"/>
      <c r="D35" s="21"/>
      <c r="E35" s="20"/>
      <c r="F35" s="21"/>
      <c r="G35" s="21"/>
      <c r="H35" s="20"/>
      <c r="I35" s="21"/>
      <c r="J35" s="21"/>
      <c r="K35" s="21"/>
      <c r="L35" s="21"/>
      <c r="M35" s="21"/>
      <c r="N35" s="21"/>
      <c r="O35" s="21"/>
      <c r="P35" s="21"/>
      <c r="Q35" s="21"/>
      <c r="R35" s="21"/>
      <c r="S35" s="21"/>
      <c r="T35" s="21"/>
      <c r="U35" s="21"/>
      <c r="V35" s="21"/>
      <c r="W35" s="21"/>
      <c r="X35" s="22" t="str">
        <f aca="false">IF(OR(N35="",N35=0),"",M35/N35)</f>
        <v/>
      </c>
      <c r="Y35" s="22" t="str">
        <f aca="false">IF(OR(M35="",M35=0),"",O35/M35)</f>
        <v/>
      </c>
      <c r="Z35" s="22" t="str">
        <f aca="false">IF(OR(Q35="",Q35=0),"",P35/Q35)</f>
        <v/>
      </c>
      <c r="AA35" s="22" t="str">
        <f aca="false">IF(OR(S35="",S35=0),"",R35/S35)</f>
        <v/>
      </c>
      <c r="AB35" s="23" t="str">
        <f aca="false">IF(OR(T35="",U35=""),"",T35-U35)</f>
        <v/>
      </c>
      <c r="AC35" s="22" t="str">
        <f aca="false">IF(OR(W35="",W35=0),"",V35/W35)</f>
        <v/>
      </c>
      <c r="AD35" s="24" t="str">
        <f aca="false">IF(B35="","",MONTH(B35))</f>
        <v/>
      </c>
    </row>
    <row r="36" customFormat="false" ht="15" hidden="false" customHeight="false" outlineLevel="0" collapsed="false">
      <c r="B36" s="19"/>
      <c r="C36" s="20"/>
      <c r="D36" s="21"/>
      <c r="E36" s="20"/>
      <c r="F36" s="21"/>
      <c r="G36" s="21"/>
      <c r="H36" s="20"/>
      <c r="I36" s="21"/>
      <c r="J36" s="21"/>
      <c r="K36" s="21"/>
      <c r="L36" s="21"/>
      <c r="M36" s="21"/>
      <c r="N36" s="21"/>
      <c r="O36" s="21"/>
      <c r="P36" s="21"/>
      <c r="Q36" s="21"/>
      <c r="R36" s="21"/>
      <c r="S36" s="21"/>
      <c r="T36" s="21"/>
      <c r="U36" s="21"/>
      <c r="V36" s="21"/>
      <c r="W36" s="21"/>
      <c r="X36" s="22" t="str">
        <f aca="false">IF(OR(N36="",N36=0),"",M36/N36)</f>
        <v/>
      </c>
      <c r="Y36" s="22" t="str">
        <f aca="false">IF(OR(M36="",M36=0),"",O36/M36)</f>
        <v/>
      </c>
      <c r="Z36" s="22" t="str">
        <f aca="false">IF(OR(Q36="",Q36=0),"",P36/Q36)</f>
        <v/>
      </c>
      <c r="AA36" s="22" t="str">
        <f aca="false">IF(OR(S36="",S36=0),"",R36/S36)</f>
        <v/>
      </c>
      <c r="AB36" s="23" t="str">
        <f aca="false">IF(OR(T36="",U36=""),"",T36-U36)</f>
        <v/>
      </c>
      <c r="AC36" s="22" t="str">
        <f aca="false">IF(OR(W36="",W36=0),"",V36/W36)</f>
        <v/>
      </c>
      <c r="AD36" s="24" t="str">
        <f aca="false">IF(B36="","",MONTH(B36))</f>
        <v/>
      </c>
    </row>
    <row r="37" customFormat="false" ht="15" hidden="false" customHeight="false" outlineLevel="0" collapsed="false">
      <c r="B37" s="19"/>
      <c r="C37" s="20"/>
      <c r="D37" s="21"/>
      <c r="E37" s="20"/>
      <c r="F37" s="21"/>
      <c r="G37" s="21"/>
      <c r="H37" s="20"/>
      <c r="I37" s="21"/>
      <c r="J37" s="21"/>
      <c r="K37" s="21"/>
      <c r="L37" s="21"/>
      <c r="M37" s="21"/>
      <c r="N37" s="21"/>
      <c r="O37" s="21"/>
      <c r="P37" s="21"/>
      <c r="Q37" s="21"/>
      <c r="R37" s="21"/>
      <c r="S37" s="21"/>
      <c r="T37" s="21"/>
      <c r="U37" s="21"/>
      <c r="V37" s="21"/>
      <c r="W37" s="21"/>
      <c r="X37" s="22" t="str">
        <f aca="false">IF(OR(N37="",N37=0),"",M37/N37)</f>
        <v/>
      </c>
      <c r="Y37" s="22" t="str">
        <f aca="false">IF(OR(M37="",M37=0),"",O37/M37)</f>
        <v/>
      </c>
      <c r="Z37" s="22" t="str">
        <f aca="false">IF(OR(Q37="",Q37=0),"",P37/Q37)</f>
        <v/>
      </c>
      <c r="AA37" s="22" t="str">
        <f aca="false">IF(OR(S37="",S37=0),"",R37/S37)</f>
        <v/>
      </c>
      <c r="AB37" s="23" t="str">
        <f aca="false">IF(OR(T37="",U37=""),"",T37-U37)</f>
        <v/>
      </c>
      <c r="AC37" s="22" t="str">
        <f aca="false">IF(OR(W37="",W37=0),"",V37/W37)</f>
        <v/>
      </c>
      <c r="AD37" s="24" t="str">
        <f aca="false">IF(B37="","",MONTH(B37))</f>
        <v/>
      </c>
    </row>
    <row r="38" customFormat="false" ht="15" hidden="false" customHeight="false" outlineLevel="0" collapsed="false">
      <c r="B38" s="19"/>
      <c r="C38" s="20"/>
      <c r="D38" s="21"/>
      <c r="E38" s="20"/>
      <c r="F38" s="21"/>
      <c r="G38" s="21"/>
      <c r="H38" s="20"/>
      <c r="I38" s="21"/>
      <c r="J38" s="21"/>
      <c r="K38" s="21"/>
      <c r="L38" s="21"/>
      <c r="M38" s="21"/>
      <c r="N38" s="21"/>
      <c r="O38" s="21"/>
      <c r="P38" s="21"/>
      <c r="Q38" s="21"/>
      <c r="R38" s="21"/>
      <c r="S38" s="21"/>
      <c r="T38" s="21"/>
      <c r="U38" s="21"/>
      <c r="V38" s="21"/>
      <c r="W38" s="21"/>
      <c r="X38" s="22" t="str">
        <f aca="false">IF(OR(N38="",N38=0),"",M38/N38)</f>
        <v/>
      </c>
      <c r="Y38" s="22" t="str">
        <f aca="false">IF(OR(M38="",M38=0),"",O38/M38)</f>
        <v/>
      </c>
      <c r="Z38" s="22" t="str">
        <f aca="false">IF(OR(Q38="",Q38=0),"",P38/Q38)</f>
        <v/>
      </c>
      <c r="AA38" s="22" t="str">
        <f aca="false">IF(OR(S38="",S38=0),"",R38/S38)</f>
        <v/>
      </c>
      <c r="AB38" s="23" t="str">
        <f aca="false">IF(OR(T38="",U38=""),"",T38-U38)</f>
        <v/>
      </c>
      <c r="AC38" s="22" t="str">
        <f aca="false">IF(OR(W38="",W38=0),"",V38/W38)</f>
        <v/>
      </c>
      <c r="AD38" s="24" t="str">
        <f aca="false">IF(B38="","",MONTH(B38))</f>
        <v/>
      </c>
    </row>
    <row r="39" customFormat="false" ht="15" hidden="false" customHeight="false" outlineLevel="0" collapsed="false">
      <c r="B39" s="19"/>
      <c r="C39" s="20"/>
      <c r="D39" s="21"/>
      <c r="E39" s="20"/>
      <c r="F39" s="21"/>
      <c r="G39" s="21"/>
      <c r="H39" s="20"/>
      <c r="I39" s="21"/>
      <c r="J39" s="21"/>
      <c r="K39" s="21"/>
      <c r="L39" s="21"/>
      <c r="M39" s="21"/>
      <c r="N39" s="21"/>
      <c r="O39" s="21"/>
      <c r="P39" s="21"/>
      <c r="Q39" s="21"/>
      <c r="R39" s="21"/>
      <c r="S39" s="21"/>
      <c r="T39" s="21"/>
      <c r="U39" s="21"/>
      <c r="V39" s="21"/>
      <c r="W39" s="21"/>
      <c r="X39" s="22" t="str">
        <f aca="false">IF(OR(N39="",N39=0),"",M39/N39)</f>
        <v/>
      </c>
      <c r="Y39" s="22" t="str">
        <f aca="false">IF(OR(M39="",M39=0),"",O39/M39)</f>
        <v/>
      </c>
      <c r="Z39" s="22" t="str">
        <f aca="false">IF(OR(Q39="",Q39=0),"",P39/Q39)</f>
        <v/>
      </c>
      <c r="AA39" s="22" t="str">
        <f aca="false">IF(OR(S39="",S39=0),"",R39/S39)</f>
        <v/>
      </c>
      <c r="AB39" s="23" t="str">
        <f aca="false">IF(OR(T39="",U39=""),"",T39-U39)</f>
        <v/>
      </c>
      <c r="AC39" s="22" t="str">
        <f aca="false">IF(OR(W39="",W39=0),"",V39/W39)</f>
        <v/>
      </c>
      <c r="AD39" s="24" t="str">
        <f aca="false">IF(B39="","",MONTH(B39))</f>
        <v/>
      </c>
    </row>
    <row r="40" customFormat="false" ht="15" hidden="false" customHeight="false" outlineLevel="0" collapsed="false">
      <c r="B40" s="19"/>
      <c r="C40" s="20"/>
      <c r="D40" s="21"/>
      <c r="E40" s="20"/>
      <c r="F40" s="21"/>
      <c r="G40" s="21"/>
      <c r="H40" s="20"/>
      <c r="I40" s="21"/>
      <c r="J40" s="21"/>
      <c r="K40" s="21"/>
      <c r="L40" s="21"/>
      <c r="M40" s="21"/>
      <c r="N40" s="21"/>
      <c r="O40" s="21"/>
      <c r="P40" s="21"/>
      <c r="Q40" s="21"/>
      <c r="R40" s="21"/>
      <c r="S40" s="21"/>
      <c r="T40" s="21"/>
      <c r="U40" s="21"/>
      <c r="V40" s="21"/>
      <c r="W40" s="21"/>
      <c r="X40" s="22" t="str">
        <f aca="false">IF(OR(N40="",N40=0),"",M40/N40)</f>
        <v/>
      </c>
      <c r="Y40" s="22" t="str">
        <f aca="false">IF(OR(M40="",M40=0),"",O40/M40)</f>
        <v/>
      </c>
      <c r="Z40" s="22" t="str">
        <f aca="false">IF(OR(Q40="",Q40=0),"",P40/Q40)</f>
        <v/>
      </c>
      <c r="AA40" s="22" t="str">
        <f aca="false">IF(OR(S40="",S40=0),"",R40/S40)</f>
        <v/>
      </c>
      <c r="AB40" s="23" t="str">
        <f aca="false">IF(OR(T40="",U40=""),"",T40-U40)</f>
        <v/>
      </c>
      <c r="AC40" s="22" t="str">
        <f aca="false">IF(OR(W40="",W40=0),"",V40/W40)</f>
        <v/>
      </c>
      <c r="AD40" s="24" t="str">
        <f aca="false">IF(B40="","",MONTH(B40))</f>
        <v/>
      </c>
    </row>
    <row r="41" customFormat="false" ht="15" hidden="false" customHeight="false" outlineLevel="0" collapsed="false">
      <c r="B41" s="19"/>
      <c r="C41" s="20"/>
      <c r="D41" s="21"/>
      <c r="E41" s="20"/>
      <c r="F41" s="21"/>
      <c r="G41" s="21"/>
      <c r="H41" s="20"/>
      <c r="I41" s="21"/>
      <c r="J41" s="21"/>
      <c r="K41" s="21"/>
      <c r="L41" s="21"/>
      <c r="M41" s="21"/>
      <c r="N41" s="21"/>
      <c r="O41" s="21"/>
      <c r="P41" s="21"/>
      <c r="Q41" s="21"/>
      <c r="R41" s="21"/>
      <c r="S41" s="21"/>
      <c r="T41" s="21"/>
      <c r="U41" s="21"/>
      <c r="V41" s="21"/>
      <c r="W41" s="21"/>
      <c r="X41" s="22" t="str">
        <f aca="false">IF(OR(N41="",N41=0),"",M41/N41)</f>
        <v/>
      </c>
      <c r="Y41" s="22" t="str">
        <f aca="false">IF(OR(M41="",M41=0),"",O41/M41)</f>
        <v/>
      </c>
      <c r="Z41" s="22" t="str">
        <f aca="false">IF(OR(Q41="",Q41=0),"",P41/Q41)</f>
        <v/>
      </c>
      <c r="AA41" s="22" t="str">
        <f aca="false">IF(OR(S41="",S41=0),"",R41/S41)</f>
        <v/>
      </c>
      <c r="AB41" s="23" t="str">
        <f aca="false">IF(OR(T41="",U41=""),"",T41-U41)</f>
        <v/>
      </c>
      <c r="AC41" s="22" t="str">
        <f aca="false">IF(OR(W41="",W41=0),"",V41/W41)</f>
        <v/>
      </c>
      <c r="AD41" s="24" t="str">
        <f aca="false">IF(B41="","",MONTH(B41))</f>
        <v/>
      </c>
    </row>
    <row r="42" customFormat="false" ht="15" hidden="false" customHeight="false" outlineLevel="0" collapsed="false">
      <c r="B42" s="19"/>
      <c r="C42" s="20"/>
      <c r="D42" s="21"/>
      <c r="E42" s="20"/>
      <c r="F42" s="21"/>
      <c r="G42" s="21"/>
      <c r="H42" s="20"/>
      <c r="I42" s="21"/>
      <c r="J42" s="21"/>
      <c r="K42" s="21"/>
      <c r="L42" s="21"/>
      <c r="M42" s="21"/>
      <c r="N42" s="21"/>
      <c r="O42" s="21"/>
      <c r="P42" s="21"/>
      <c r="Q42" s="21"/>
      <c r="R42" s="21"/>
      <c r="S42" s="21"/>
      <c r="T42" s="21"/>
      <c r="U42" s="21"/>
      <c r="V42" s="21"/>
      <c r="W42" s="21"/>
      <c r="X42" s="22" t="str">
        <f aca="false">IF(OR(N42="",N42=0),"",M42/N42)</f>
        <v/>
      </c>
      <c r="Y42" s="22" t="str">
        <f aca="false">IF(OR(M42="",M42=0),"",O42/M42)</f>
        <v/>
      </c>
      <c r="Z42" s="22" t="str">
        <f aca="false">IF(OR(Q42="",Q42=0),"",P42/Q42)</f>
        <v/>
      </c>
      <c r="AA42" s="22" t="str">
        <f aca="false">IF(OR(S42="",S42=0),"",R42/S42)</f>
        <v/>
      </c>
      <c r="AB42" s="23" t="str">
        <f aca="false">IF(OR(T42="",U42=""),"",T42-U42)</f>
        <v/>
      </c>
      <c r="AC42" s="22" t="str">
        <f aca="false">IF(OR(W42="",W42=0),"",V42/W42)</f>
        <v/>
      </c>
      <c r="AD42" s="24" t="str">
        <f aca="false">IF(B42="","",MONTH(B42))</f>
        <v/>
      </c>
    </row>
    <row r="43" customFormat="false" ht="15" hidden="false" customHeight="false" outlineLevel="0" collapsed="false">
      <c r="B43" s="19"/>
      <c r="C43" s="20"/>
      <c r="D43" s="21"/>
      <c r="E43" s="20"/>
      <c r="F43" s="21"/>
      <c r="G43" s="21"/>
      <c r="H43" s="20"/>
      <c r="I43" s="21"/>
      <c r="J43" s="21"/>
      <c r="K43" s="21"/>
      <c r="L43" s="21"/>
      <c r="M43" s="21"/>
      <c r="N43" s="21"/>
      <c r="O43" s="21"/>
      <c r="P43" s="21"/>
      <c r="Q43" s="21"/>
      <c r="R43" s="21"/>
      <c r="S43" s="21"/>
      <c r="T43" s="21"/>
      <c r="U43" s="21"/>
      <c r="V43" s="21"/>
      <c r="W43" s="21"/>
      <c r="X43" s="22" t="str">
        <f aca="false">IF(OR(N43="",N43=0),"",M43/N43)</f>
        <v/>
      </c>
      <c r="Y43" s="22" t="str">
        <f aca="false">IF(OR(M43="",M43=0),"",O43/M43)</f>
        <v/>
      </c>
      <c r="Z43" s="22" t="str">
        <f aca="false">IF(OR(Q43="",Q43=0),"",P43/Q43)</f>
        <v/>
      </c>
      <c r="AA43" s="22" t="str">
        <f aca="false">IF(OR(S43="",S43=0),"",R43/S43)</f>
        <v/>
      </c>
      <c r="AB43" s="23" t="str">
        <f aca="false">IF(OR(T43="",U43=""),"",T43-U43)</f>
        <v/>
      </c>
      <c r="AC43" s="22" t="str">
        <f aca="false">IF(OR(W43="",W43=0),"",V43/W43)</f>
        <v/>
      </c>
      <c r="AD43" s="24" t="str">
        <f aca="false">IF(B43="","",MONTH(B43))</f>
        <v/>
      </c>
    </row>
    <row r="44" customFormat="false" ht="15" hidden="false" customHeight="false" outlineLevel="0" collapsed="false">
      <c r="B44" s="19"/>
      <c r="C44" s="20"/>
      <c r="D44" s="21"/>
      <c r="E44" s="20"/>
      <c r="F44" s="21"/>
      <c r="G44" s="21"/>
      <c r="H44" s="20"/>
      <c r="I44" s="21"/>
      <c r="J44" s="21"/>
      <c r="K44" s="21"/>
      <c r="L44" s="21"/>
      <c r="M44" s="21"/>
      <c r="N44" s="21"/>
      <c r="O44" s="21"/>
      <c r="P44" s="21"/>
      <c r="Q44" s="21"/>
      <c r="R44" s="21"/>
      <c r="S44" s="21"/>
      <c r="T44" s="21"/>
      <c r="U44" s="21"/>
      <c r="V44" s="21"/>
      <c r="W44" s="21"/>
      <c r="X44" s="22" t="str">
        <f aca="false">IF(OR(N44="",N44=0),"",M44/N44)</f>
        <v/>
      </c>
      <c r="Y44" s="22" t="str">
        <f aca="false">IF(OR(M44="",M44=0),"",O44/M44)</f>
        <v/>
      </c>
      <c r="Z44" s="22" t="str">
        <f aca="false">IF(OR(Q44="",Q44=0),"",P44/Q44)</f>
        <v/>
      </c>
      <c r="AA44" s="22" t="str">
        <f aca="false">IF(OR(S44="",S44=0),"",R44/S44)</f>
        <v/>
      </c>
      <c r="AB44" s="23" t="str">
        <f aca="false">IF(OR(T44="",U44=""),"",T44-U44)</f>
        <v/>
      </c>
      <c r="AC44" s="22" t="str">
        <f aca="false">IF(OR(W44="",W44=0),"",V44/W44)</f>
        <v/>
      </c>
      <c r="AD44" s="24" t="str">
        <f aca="false">IF(B44="","",MONTH(B44))</f>
        <v/>
      </c>
    </row>
    <row r="45" customFormat="false" ht="15" hidden="false" customHeight="false" outlineLevel="0" collapsed="false">
      <c r="B45" s="19"/>
      <c r="C45" s="20"/>
      <c r="D45" s="21"/>
      <c r="E45" s="20"/>
      <c r="F45" s="21"/>
      <c r="G45" s="21"/>
      <c r="H45" s="20"/>
      <c r="I45" s="21"/>
      <c r="J45" s="21"/>
      <c r="K45" s="21"/>
      <c r="L45" s="21"/>
      <c r="M45" s="21"/>
      <c r="N45" s="21"/>
      <c r="O45" s="21"/>
      <c r="P45" s="21"/>
      <c r="Q45" s="21"/>
      <c r="R45" s="21"/>
      <c r="S45" s="21"/>
      <c r="T45" s="21"/>
      <c r="U45" s="21"/>
      <c r="V45" s="21"/>
      <c r="W45" s="21"/>
      <c r="X45" s="22" t="str">
        <f aca="false">IF(OR(N45="",N45=0),"",M45/N45)</f>
        <v/>
      </c>
      <c r="Y45" s="22" t="str">
        <f aca="false">IF(OR(M45="",M45=0),"",O45/M45)</f>
        <v/>
      </c>
      <c r="Z45" s="22" t="str">
        <f aca="false">IF(OR(Q45="",Q45=0),"",P45/Q45)</f>
        <v/>
      </c>
      <c r="AA45" s="22" t="str">
        <f aca="false">IF(OR(S45="",S45=0),"",R45/S45)</f>
        <v/>
      </c>
      <c r="AB45" s="23" t="str">
        <f aca="false">IF(OR(T45="",U45=""),"",T45-U45)</f>
        <v/>
      </c>
      <c r="AC45" s="22" t="str">
        <f aca="false">IF(OR(W45="",W45=0),"",V45/W45)</f>
        <v/>
      </c>
      <c r="AD45" s="24" t="str">
        <f aca="false">IF(B45="","",MONTH(B45))</f>
        <v/>
      </c>
    </row>
    <row r="46" customFormat="false" ht="15" hidden="false" customHeight="false" outlineLevel="0" collapsed="false">
      <c r="B46" s="19"/>
      <c r="C46" s="20"/>
      <c r="D46" s="21"/>
      <c r="E46" s="20"/>
      <c r="F46" s="21"/>
      <c r="G46" s="21"/>
      <c r="H46" s="20"/>
      <c r="I46" s="21"/>
      <c r="J46" s="21"/>
      <c r="K46" s="21"/>
      <c r="L46" s="21"/>
      <c r="M46" s="21"/>
      <c r="N46" s="21"/>
      <c r="O46" s="21"/>
      <c r="P46" s="21"/>
      <c r="Q46" s="21"/>
      <c r="R46" s="21"/>
      <c r="S46" s="21"/>
      <c r="T46" s="21"/>
      <c r="U46" s="21"/>
      <c r="V46" s="21"/>
      <c r="W46" s="21"/>
      <c r="X46" s="22" t="str">
        <f aca="false">IF(OR(N46="",N46=0),"",M46/N46)</f>
        <v/>
      </c>
      <c r="Y46" s="22" t="str">
        <f aca="false">IF(OR(M46="",M46=0),"",O46/M46)</f>
        <v/>
      </c>
      <c r="Z46" s="22" t="str">
        <f aca="false">IF(OR(Q46="",Q46=0),"",P46/Q46)</f>
        <v/>
      </c>
      <c r="AA46" s="22" t="str">
        <f aca="false">IF(OR(S46="",S46=0),"",R46/S46)</f>
        <v/>
      </c>
      <c r="AB46" s="23" t="str">
        <f aca="false">IF(OR(T46="",U46=""),"",T46-U46)</f>
        <v/>
      </c>
      <c r="AC46" s="22" t="str">
        <f aca="false">IF(OR(W46="",W46=0),"",V46/W46)</f>
        <v/>
      </c>
      <c r="AD46" s="24" t="str">
        <f aca="false">IF(B46="","",MONTH(B46))</f>
        <v/>
      </c>
    </row>
    <row r="47" customFormat="false" ht="15" hidden="false" customHeight="false" outlineLevel="0" collapsed="false">
      <c r="B47" s="19"/>
      <c r="C47" s="20"/>
      <c r="D47" s="21"/>
      <c r="E47" s="20"/>
      <c r="F47" s="21"/>
      <c r="G47" s="21"/>
      <c r="H47" s="20"/>
      <c r="I47" s="21"/>
      <c r="J47" s="21"/>
      <c r="K47" s="21"/>
      <c r="L47" s="21"/>
      <c r="M47" s="21"/>
      <c r="N47" s="21"/>
      <c r="O47" s="21"/>
      <c r="P47" s="21"/>
      <c r="Q47" s="21"/>
      <c r="R47" s="21"/>
      <c r="S47" s="21"/>
      <c r="T47" s="21"/>
      <c r="U47" s="21"/>
      <c r="V47" s="21"/>
      <c r="W47" s="21"/>
      <c r="X47" s="22" t="str">
        <f aca="false">IF(OR(N47="",N47=0),"",M47/N47)</f>
        <v/>
      </c>
      <c r="Y47" s="22" t="str">
        <f aca="false">IF(OR(M47="",M47=0),"",O47/M47)</f>
        <v/>
      </c>
      <c r="Z47" s="22" t="str">
        <f aca="false">IF(OR(Q47="",Q47=0),"",P47/Q47)</f>
        <v/>
      </c>
      <c r="AA47" s="22" t="str">
        <f aca="false">IF(OR(S47="",S47=0),"",R47/S47)</f>
        <v/>
      </c>
      <c r="AB47" s="23" t="str">
        <f aca="false">IF(OR(T47="",U47=""),"",T47-U47)</f>
        <v/>
      </c>
      <c r="AC47" s="22" t="str">
        <f aca="false">IF(OR(W47="",W47=0),"",V47/W47)</f>
        <v/>
      </c>
      <c r="AD47" s="24" t="str">
        <f aca="false">IF(B47="","",MONTH(B47))</f>
        <v/>
      </c>
    </row>
    <row r="48" customFormat="false" ht="15" hidden="false" customHeight="false" outlineLevel="0" collapsed="false">
      <c r="B48" s="19"/>
      <c r="C48" s="20"/>
      <c r="D48" s="21"/>
      <c r="E48" s="20"/>
      <c r="F48" s="21"/>
      <c r="G48" s="21"/>
      <c r="H48" s="20"/>
      <c r="I48" s="21"/>
      <c r="J48" s="21"/>
      <c r="K48" s="21"/>
      <c r="L48" s="21"/>
      <c r="M48" s="21"/>
      <c r="N48" s="21"/>
      <c r="O48" s="21"/>
      <c r="P48" s="21"/>
      <c r="Q48" s="21"/>
      <c r="R48" s="21"/>
      <c r="S48" s="21"/>
      <c r="T48" s="21"/>
      <c r="U48" s="21"/>
      <c r="V48" s="21"/>
      <c r="W48" s="21"/>
      <c r="X48" s="22" t="str">
        <f aca="false">IF(OR(N48="",N48=0),"",M48/N48)</f>
        <v/>
      </c>
      <c r="Y48" s="22" t="str">
        <f aca="false">IF(OR(M48="",M48=0),"",O48/M48)</f>
        <v/>
      </c>
      <c r="Z48" s="22" t="str">
        <f aca="false">IF(OR(Q48="",Q48=0),"",P48/Q48)</f>
        <v/>
      </c>
      <c r="AA48" s="22" t="str">
        <f aca="false">IF(OR(S48="",S48=0),"",R48/S48)</f>
        <v/>
      </c>
      <c r="AB48" s="23" t="str">
        <f aca="false">IF(OR(T48="",U48=""),"",T48-U48)</f>
        <v/>
      </c>
      <c r="AC48" s="22" t="str">
        <f aca="false">IF(OR(W48="",W48=0),"",V48/W48)</f>
        <v/>
      </c>
      <c r="AD48" s="24" t="str">
        <f aca="false">IF(B48="","",MONTH(B48))</f>
        <v/>
      </c>
    </row>
    <row r="49" customFormat="false" ht="15" hidden="false" customHeight="false" outlineLevel="0" collapsed="false">
      <c r="B49" s="19"/>
      <c r="C49" s="20"/>
      <c r="D49" s="21"/>
      <c r="E49" s="20"/>
      <c r="F49" s="21"/>
      <c r="G49" s="21"/>
      <c r="H49" s="20"/>
      <c r="I49" s="21"/>
      <c r="J49" s="21"/>
      <c r="K49" s="21"/>
      <c r="L49" s="21"/>
      <c r="M49" s="21"/>
      <c r="N49" s="21"/>
      <c r="O49" s="21"/>
      <c r="P49" s="21"/>
      <c r="Q49" s="21"/>
      <c r="R49" s="21"/>
      <c r="S49" s="21"/>
      <c r="T49" s="21"/>
      <c r="U49" s="21"/>
      <c r="V49" s="21"/>
      <c r="W49" s="21"/>
      <c r="X49" s="22" t="str">
        <f aca="false">IF(OR(N49="",N49=0),"",M49/N49)</f>
        <v/>
      </c>
      <c r="Y49" s="22" t="str">
        <f aca="false">IF(OR(M49="",M49=0),"",O49/M49)</f>
        <v/>
      </c>
      <c r="Z49" s="22" t="str">
        <f aca="false">IF(OR(Q49="",Q49=0),"",P49/Q49)</f>
        <v/>
      </c>
      <c r="AA49" s="22" t="str">
        <f aca="false">IF(OR(S49="",S49=0),"",R49/S49)</f>
        <v/>
      </c>
      <c r="AB49" s="23" t="str">
        <f aca="false">IF(OR(T49="",U49=""),"",T49-U49)</f>
        <v/>
      </c>
      <c r="AC49" s="22" t="str">
        <f aca="false">IF(OR(W49="",W49=0),"",V49/W49)</f>
        <v/>
      </c>
      <c r="AD49" s="24" t="str">
        <f aca="false">IF(B49="","",MONTH(B49))</f>
        <v/>
      </c>
    </row>
    <row r="50" customFormat="false" ht="15" hidden="false" customHeight="false" outlineLevel="0" collapsed="false">
      <c r="B50" s="19"/>
      <c r="C50" s="20"/>
      <c r="D50" s="21"/>
      <c r="E50" s="20"/>
      <c r="F50" s="21"/>
      <c r="G50" s="21"/>
      <c r="H50" s="20"/>
      <c r="I50" s="21"/>
      <c r="J50" s="21"/>
      <c r="K50" s="21"/>
      <c r="L50" s="21"/>
      <c r="M50" s="21"/>
      <c r="N50" s="21"/>
      <c r="O50" s="21"/>
      <c r="P50" s="21"/>
      <c r="Q50" s="21"/>
      <c r="R50" s="21"/>
      <c r="S50" s="21"/>
      <c r="T50" s="21"/>
      <c r="U50" s="21"/>
      <c r="V50" s="21"/>
      <c r="W50" s="21"/>
      <c r="X50" s="22" t="str">
        <f aca="false">IF(OR(N50="",N50=0),"",M50/N50)</f>
        <v/>
      </c>
      <c r="Y50" s="22" t="str">
        <f aca="false">IF(OR(M50="",M50=0),"",O50/M50)</f>
        <v/>
      </c>
      <c r="Z50" s="22" t="str">
        <f aca="false">IF(OR(Q50="",Q50=0),"",P50/Q50)</f>
        <v/>
      </c>
      <c r="AA50" s="22" t="str">
        <f aca="false">IF(OR(S50="",S50=0),"",R50/S50)</f>
        <v/>
      </c>
      <c r="AB50" s="23" t="str">
        <f aca="false">IF(OR(T50="",U50=""),"",T50-U50)</f>
        <v/>
      </c>
      <c r="AC50" s="22" t="str">
        <f aca="false">IF(OR(W50="",W50=0),"",V50/W50)</f>
        <v/>
      </c>
      <c r="AD50" s="24" t="str">
        <f aca="false">IF(B50="","",MONTH(B50))</f>
        <v/>
      </c>
    </row>
    <row r="51" customFormat="false" ht="15" hidden="false" customHeight="false" outlineLevel="0" collapsed="false">
      <c r="B51" s="19"/>
      <c r="C51" s="20"/>
      <c r="D51" s="21"/>
      <c r="E51" s="20"/>
      <c r="F51" s="21"/>
      <c r="G51" s="21"/>
      <c r="H51" s="20"/>
      <c r="I51" s="21"/>
      <c r="J51" s="21"/>
      <c r="K51" s="21"/>
      <c r="L51" s="21"/>
      <c r="M51" s="21"/>
      <c r="N51" s="21"/>
      <c r="O51" s="21"/>
      <c r="P51" s="21"/>
      <c r="Q51" s="21"/>
      <c r="R51" s="21"/>
      <c r="S51" s="21"/>
      <c r="T51" s="21"/>
      <c r="U51" s="21"/>
      <c r="V51" s="21"/>
      <c r="W51" s="21"/>
      <c r="X51" s="22" t="str">
        <f aca="false">IF(OR(N51="",N51=0),"",M51/N51)</f>
        <v/>
      </c>
      <c r="Y51" s="22" t="str">
        <f aca="false">IF(OR(M51="",M51=0),"",O51/M51)</f>
        <v/>
      </c>
      <c r="Z51" s="22" t="str">
        <f aca="false">IF(OR(Q51="",Q51=0),"",P51/Q51)</f>
        <v/>
      </c>
      <c r="AA51" s="22" t="str">
        <f aca="false">IF(OR(S51="",S51=0),"",R51/S51)</f>
        <v/>
      </c>
      <c r="AB51" s="23" t="str">
        <f aca="false">IF(OR(T51="",U51=""),"",T51-U51)</f>
        <v/>
      </c>
      <c r="AC51" s="22" t="str">
        <f aca="false">IF(OR(W51="",W51=0),"",V51/W51)</f>
        <v/>
      </c>
      <c r="AD51" s="24" t="str">
        <f aca="false">IF(B51="","",MONTH(B51))</f>
        <v/>
      </c>
    </row>
    <row r="52" customFormat="false" ht="15" hidden="false" customHeight="false" outlineLevel="0" collapsed="false">
      <c r="B52" s="19"/>
      <c r="C52" s="20"/>
      <c r="D52" s="21"/>
      <c r="E52" s="20"/>
      <c r="F52" s="21"/>
      <c r="G52" s="21"/>
      <c r="H52" s="20"/>
      <c r="I52" s="21"/>
      <c r="J52" s="21"/>
      <c r="K52" s="21"/>
      <c r="L52" s="21"/>
      <c r="M52" s="21"/>
      <c r="N52" s="21"/>
      <c r="O52" s="21"/>
      <c r="P52" s="21"/>
      <c r="Q52" s="21"/>
      <c r="R52" s="21"/>
      <c r="S52" s="21"/>
      <c r="T52" s="21"/>
      <c r="U52" s="21"/>
      <c r="V52" s="21"/>
      <c r="W52" s="21"/>
      <c r="X52" s="22" t="str">
        <f aca="false">IF(OR(N52="",N52=0),"",M52/N52)</f>
        <v/>
      </c>
      <c r="Y52" s="22" t="str">
        <f aca="false">IF(OR(M52="",M52=0),"",O52/M52)</f>
        <v/>
      </c>
      <c r="Z52" s="22" t="str">
        <f aca="false">IF(OR(Q52="",Q52=0),"",P52/Q52)</f>
        <v/>
      </c>
      <c r="AA52" s="22" t="str">
        <f aca="false">IF(OR(S52="",S52=0),"",R52/S52)</f>
        <v/>
      </c>
      <c r="AB52" s="23" t="str">
        <f aca="false">IF(OR(T52="",U52=""),"",T52-U52)</f>
        <v/>
      </c>
      <c r="AC52" s="22" t="str">
        <f aca="false">IF(OR(W52="",W52=0),"",V52/W52)</f>
        <v/>
      </c>
      <c r="AD52" s="24" t="str">
        <f aca="false">IF(B52="","",MONTH(B52))</f>
        <v/>
      </c>
    </row>
    <row r="53" customFormat="false" ht="15" hidden="false" customHeight="false" outlineLevel="0" collapsed="false">
      <c r="B53" s="19"/>
      <c r="C53" s="20"/>
      <c r="D53" s="21"/>
      <c r="E53" s="20"/>
      <c r="F53" s="21"/>
      <c r="G53" s="21"/>
      <c r="H53" s="20"/>
      <c r="I53" s="21"/>
      <c r="J53" s="21"/>
      <c r="K53" s="21"/>
      <c r="L53" s="21"/>
      <c r="M53" s="21"/>
      <c r="N53" s="21"/>
      <c r="O53" s="21"/>
      <c r="P53" s="21"/>
      <c r="Q53" s="21"/>
      <c r="R53" s="21"/>
      <c r="S53" s="21"/>
      <c r="T53" s="21"/>
      <c r="U53" s="21"/>
      <c r="V53" s="21"/>
      <c r="W53" s="21"/>
      <c r="X53" s="22" t="str">
        <f aca="false">IF(OR(N53="",N53=0),"",M53/N53)</f>
        <v/>
      </c>
      <c r="Y53" s="22" t="str">
        <f aca="false">IF(OR(M53="",M53=0),"",O53/M53)</f>
        <v/>
      </c>
      <c r="Z53" s="22" t="str">
        <f aca="false">IF(OR(Q53="",Q53=0),"",P53/Q53)</f>
        <v/>
      </c>
      <c r="AA53" s="22" t="str">
        <f aca="false">IF(OR(S53="",S53=0),"",R53/S53)</f>
        <v/>
      </c>
      <c r="AB53" s="23" t="str">
        <f aca="false">IF(OR(T53="",U53=""),"",T53-U53)</f>
        <v/>
      </c>
      <c r="AC53" s="22" t="str">
        <f aca="false">IF(OR(W53="",W53=0),"",V53/W53)</f>
        <v/>
      </c>
      <c r="AD53" s="24" t="str">
        <f aca="false">IF(B53="","",MONTH(B53))</f>
        <v/>
      </c>
    </row>
    <row r="54" customFormat="false" ht="15" hidden="false" customHeight="false" outlineLevel="0" collapsed="false">
      <c r="B54" s="19"/>
      <c r="C54" s="20"/>
      <c r="D54" s="21"/>
      <c r="E54" s="20"/>
      <c r="F54" s="21"/>
      <c r="G54" s="21"/>
      <c r="H54" s="20"/>
      <c r="I54" s="21"/>
      <c r="J54" s="21"/>
      <c r="K54" s="21"/>
      <c r="L54" s="21"/>
      <c r="M54" s="21"/>
      <c r="N54" s="21"/>
      <c r="O54" s="21"/>
      <c r="P54" s="21"/>
      <c r="Q54" s="21"/>
      <c r="R54" s="21"/>
      <c r="S54" s="21"/>
      <c r="T54" s="21"/>
      <c r="U54" s="21"/>
      <c r="V54" s="21"/>
      <c r="W54" s="21"/>
      <c r="X54" s="22" t="str">
        <f aca="false">IF(OR(N54="",N54=0),"",M54/N54)</f>
        <v/>
      </c>
      <c r="Y54" s="22" t="str">
        <f aca="false">IF(OR(M54="",M54=0),"",O54/M54)</f>
        <v/>
      </c>
      <c r="Z54" s="22" t="str">
        <f aca="false">IF(OR(Q54="",Q54=0),"",P54/Q54)</f>
        <v/>
      </c>
      <c r="AA54" s="22" t="str">
        <f aca="false">IF(OR(S54="",S54=0),"",R54/S54)</f>
        <v/>
      </c>
      <c r="AB54" s="23" t="str">
        <f aca="false">IF(OR(T54="",U54=""),"",T54-U54)</f>
        <v/>
      </c>
      <c r="AC54" s="22" t="str">
        <f aca="false">IF(OR(W54="",W54=0),"",V54/W54)</f>
        <v/>
      </c>
      <c r="AD54" s="24" t="str">
        <f aca="false">IF(B54="","",MONTH(B54))</f>
        <v/>
      </c>
    </row>
    <row r="55" customFormat="false" ht="15" hidden="false" customHeight="false" outlineLevel="0" collapsed="false">
      <c r="B55" s="19"/>
      <c r="C55" s="20"/>
      <c r="D55" s="21"/>
      <c r="E55" s="20"/>
      <c r="F55" s="21"/>
      <c r="G55" s="21"/>
      <c r="H55" s="20"/>
      <c r="I55" s="21"/>
      <c r="J55" s="21"/>
      <c r="K55" s="21"/>
      <c r="L55" s="21"/>
      <c r="M55" s="21"/>
      <c r="N55" s="21"/>
      <c r="O55" s="21"/>
      <c r="P55" s="21"/>
      <c r="Q55" s="21"/>
      <c r="R55" s="21"/>
      <c r="S55" s="21"/>
      <c r="T55" s="21"/>
      <c r="U55" s="21"/>
      <c r="V55" s="21"/>
      <c r="W55" s="21"/>
      <c r="X55" s="22" t="str">
        <f aca="false">IF(OR(N55="",N55=0),"",M55/N55)</f>
        <v/>
      </c>
      <c r="Y55" s="22" t="str">
        <f aca="false">IF(OR(M55="",M55=0),"",O55/M55)</f>
        <v/>
      </c>
      <c r="Z55" s="22" t="str">
        <f aca="false">IF(OR(Q55="",Q55=0),"",P55/Q55)</f>
        <v/>
      </c>
      <c r="AA55" s="22" t="str">
        <f aca="false">IF(OR(S55="",S55=0),"",R55/S55)</f>
        <v/>
      </c>
      <c r="AB55" s="23" t="str">
        <f aca="false">IF(OR(T55="",U55=""),"",T55-U55)</f>
        <v/>
      </c>
      <c r="AC55" s="22" t="str">
        <f aca="false">IF(OR(W55="",W55=0),"",V55/W55)</f>
        <v/>
      </c>
      <c r="AD55" s="24" t="str">
        <f aca="false">IF(B55="","",MONTH(B55))</f>
        <v/>
      </c>
    </row>
    <row r="56" customFormat="false" ht="15" hidden="false" customHeight="false" outlineLevel="0" collapsed="false">
      <c r="B56" s="19"/>
      <c r="C56" s="20"/>
      <c r="D56" s="21"/>
      <c r="E56" s="20"/>
      <c r="F56" s="21"/>
      <c r="G56" s="21"/>
      <c r="H56" s="20"/>
      <c r="I56" s="21"/>
      <c r="J56" s="21"/>
      <c r="K56" s="21"/>
      <c r="L56" s="21"/>
      <c r="M56" s="21"/>
      <c r="N56" s="21"/>
      <c r="O56" s="21"/>
      <c r="P56" s="21"/>
      <c r="Q56" s="21"/>
      <c r="R56" s="21"/>
      <c r="S56" s="21"/>
      <c r="T56" s="21"/>
      <c r="U56" s="21"/>
      <c r="V56" s="21"/>
      <c r="W56" s="21"/>
      <c r="X56" s="22" t="str">
        <f aca="false">IF(OR(N56="",N56=0),"",M56/N56)</f>
        <v/>
      </c>
      <c r="Y56" s="22" t="str">
        <f aca="false">IF(OR(M56="",M56=0),"",O56/M56)</f>
        <v/>
      </c>
      <c r="Z56" s="22" t="str">
        <f aca="false">IF(OR(Q56="",Q56=0),"",P56/Q56)</f>
        <v/>
      </c>
      <c r="AA56" s="22" t="str">
        <f aca="false">IF(OR(S56="",S56=0),"",R56/S56)</f>
        <v/>
      </c>
      <c r="AB56" s="23" t="str">
        <f aca="false">IF(OR(T56="",U56=""),"",T56-U56)</f>
        <v/>
      </c>
      <c r="AC56" s="22" t="str">
        <f aca="false">IF(OR(W56="",W56=0),"",V56/W56)</f>
        <v/>
      </c>
      <c r="AD56" s="24" t="str">
        <f aca="false">IF(B56="","",MONTH(B56))</f>
        <v/>
      </c>
    </row>
    <row r="57" customFormat="false" ht="15" hidden="false" customHeight="false" outlineLevel="0" collapsed="false">
      <c r="B57" s="19"/>
      <c r="C57" s="20"/>
      <c r="D57" s="21"/>
      <c r="E57" s="20"/>
      <c r="F57" s="21"/>
      <c r="G57" s="21"/>
      <c r="H57" s="20"/>
      <c r="I57" s="21"/>
      <c r="J57" s="21"/>
      <c r="K57" s="21"/>
      <c r="L57" s="21"/>
      <c r="M57" s="21"/>
      <c r="N57" s="21"/>
      <c r="O57" s="21"/>
      <c r="P57" s="21"/>
      <c r="Q57" s="21"/>
      <c r="R57" s="21"/>
      <c r="S57" s="21"/>
      <c r="T57" s="21"/>
      <c r="U57" s="21"/>
      <c r="V57" s="21"/>
      <c r="W57" s="21"/>
      <c r="X57" s="22" t="str">
        <f aca="false">IF(OR(N57="",N57=0),"",M57/N57)</f>
        <v/>
      </c>
      <c r="Y57" s="22" t="str">
        <f aca="false">IF(OR(M57="",M57=0),"",O57/M57)</f>
        <v/>
      </c>
      <c r="Z57" s="22" t="str">
        <f aca="false">IF(OR(Q57="",Q57=0),"",P57/Q57)</f>
        <v/>
      </c>
      <c r="AA57" s="22" t="str">
        <f aca="false">IF(OR(S57="",S57=0),"",R57/S57)</f>
        <v/>
      </c>
      <c r="AB57" s="23" t="str">
        <f aca="false">IF(OR(T57="",U57=""),"",T57-U57)</f>
        <v/>
      </c>
      <c r="AC57" s="22" t="str">
        <f aca="false">IF(OR(W57="",W57=0),"",V57/W57)</f>
        <v/>
      </c>
      <c r="AD57" s="24" t="str">
        <f aca="false">IF(B57="","",MONTH(B57))</f>
        <v/>
      </c>
    </row>
    <row r="58" customFormat="false" ht="15" hidden="false" customHeight="false" outlineLevel="0" collapsed="false">
      <c r="B58" s="19"/>
      <c r="C58" s="20"/>
      <c r="D58" s="21"/>
      <c r="E58" s="20"/>
      <c r="F58" s="21"/>
      <c r="G58" s="21"/>
      <c r="H58" s="20"/>
      <c r="I58" s="21"/>
      <c r="J58" s="21"/>
      <c r="K58" s="21"/>
      <c r="L58" s="21"/>
      <c r="M58" s="21"/>
      <c r="N58" s="21"/>
      <c r="O58" s="21"/>
      <c r="P58" s="21"/>
      <c r="Q58" s="21"/>
      <c r="R58" s="21"/>
      <c r="S58" s="21"/>
      <c r="T58" s="21"/>
      <c r="U58" s="21"/>
      <c r="V58" s="21"/>
      <c r="W58" s="21"/>
      <c r="X58" s="22" t="str">
        <f aca="false">IF(OR(N58="",N58=0),"",M58/N58)</f>
        <v/>
      </c>
      <c r="Y58" s="22" t="str">
        <f aca="false">IF(OR(M58="",M58=0),"",O58/M58)</f>
        <v/>
      </c>
      <c r="Z58" s="22" t="str">
        <f aca="false">IF(OR(Q58="",Q58=0),"",P58/Q58)</f>
        <v/>
      </c>
      <c r="AA58" s="22" t="str">
        <f aca="false">IF(OR(S58="",S58=0),"",R58/S58)</f>
        <v/>
      </c>
      <c r="AB58" s="23" t="str">
        <f aca="false">IF(OR(T58="",U58=""),"",T58-U58)</f>
        <v/>
      </c>
      <c r="AC58" s="22" t="str">
        <f aca="false">IF(OR(W58="",W58=0),"",V58/W58)</f>
        <v/>
      </c>
      <c r="AD58" s="24" t="str">
        <f aca="false">IF(B58="","",MONTH(B58))</f>
        <v/>
      </c>
    </row>
    <row r="59" customFormat="false" ht="15" hidden="false" customHeight="false" outlineLevel="0" collapsed="false">
      <c r="B59" s="19"/>
      <c r="C59" s="20"/>
      <c r="D59" s="21"/>
      <c r="E59" s="20"/>
      <c r="F59" s="21"/>
      <c r="G59" s="21"/>
      <c r="H59" s="20"/>
      <c r="I59" s="21"/>
      <c r="J59" s="21"/>
      <c r="K59" s="21"/>
      <c r="L59" s="21"/>
      <c r="M59" s="21"/>
      <c r="N59" s="21"/>
      <c r="O59" s="21"/>
      <c r="P59" s="21"/>
      <c r="Q59" s="21"/>
      <c r="R59" s="21"/>
      <c r="S59" s="21"/>
      <c r="T59" s="21"/>
      <c r="U59" s="21"/>
      <c r="V59" s="21"/>
      <c r="W59" s="21"/>
      <c r="X59" s="22" t="str">
        <f aca="false">IF(OR(N59="",N59=0),"",M59/N59)</f>
        <v/>
      </c>
      <c r="Y59" s="22" t="str">
        <f aca="false">IF(OR(M59="",M59=0),"",O59/M59)</f>
        <v/>
      </c>
      <c r="Z59" s="22" t="str">
        <f aca="false">IF(OR(Q59="",Q59=0),"",P59/Q59)</f>
        <v/>
      </c>
      <c r="AA59" s="22" t="str">
        <f aca="false">IF(OR(S59="",S59=0),"",R59/S59)</f>
        <v/>
      </c>
      <c r="AB59" s="23" t="str">
        <f aca="false">IF(OR(T59="",U59=""),"",T59-U59)</f>
        <v/>
      </c>
      <c r="AC59" s="22" t="str">
        <f aca="false">IF(OR(W59="",W59=0),"",V59/W59)</f>
        <v/>
      </c>
      <c r="AD59" s="24" t="str">
        <f aca="false">IF(B59="","",MONTH(B59))</f>
        <v/>
      </c>
    </row>
    <row r="60" customFormat="false" ht="15" hidden="false" customHeight="false" outlineLevel="0" collapsed="false">
      <c r="B60" s="19"/>
      <c r="C60" s="20"/>
      <c r="D60" s="21"/>
      <c r="E60" s="20"/>
      <c r="F60" s="21"/>
      <c r="G60" s="21"/>
      <c r="H60" s="20"/>
      <c r="I60" s="21"/>
      <c r="J60" s="21"/>
      <c r="K60" s="21"/>
      <c r="L60" s="21"/>
      <c r="M60" s="21"/>
      <c r="N60" s="21"/>
      <c r="O60" s="21"/>
      <c r="P60" s="21"/>
      <c r="Q60" s="21"/>
      <c r="R60" s="21"/>
      <c r="S60" s="21"/>
      <c r="T60" s="21"/>
      <c r="U60" s="21"/>
      <c r="V60" s="21"/>
      <c r="W60" s="21"/>
      <c r="X60" s="22" t="str">
        <f aca="false">IF(OR(N60="",N60=0),"",M60/N60)</f>
        <v/>
      </c>
      <c r="Y60" s="22" t="str">
        <f aca="false">IF(OR(M60="",M60=0),"",O60/M60)</f>
        <v/>
      </c>
      <c r="Z60" s="22" t="str">
        <f aca="false">IF(OR(Q60="",Q60=0),"",P60/Q60)</f>
        <v/>
      </c>
      <c r="AA60" s="22" t="str">
        <f aca="false">IF(OR(S60="",S60=0),"",R60/S60)</f>
        <v/>
      </c>
      <c r="AB60" s="23" t="str">
        <f aca="false">IF(OR(T60="",U60=""),"",T60-U60)</f>
        <v/>
      </c>
      <c r="AC60" s="22" t="str">
        <f aca="false">IF(OR(W60="",W60=0),"",V60/W60)</f>
        <v/>
      </c>
      <c r="AD60" s="24" t="str">
        <f aca="false">IF(B60="","",MONTH(B60))</f>
        <v/>
      </c>
    </row>
    <row r="61" customFormat="false" ht="15" hidden="false" customHeight="false" outlineLevel="0" collapsed="false">
      <c r="B61" s="19"/>
      <c r="C61" s="20"/>
      <c r="D61" s="21"/>
      <c r="E61" s="20"/>
      <c r="F61" s="21"/>
      <c r="G61" s="21"/>
      <c r="H61" s="20"/>
      <c r="I61" s="21"/>
      <c r="J61" s="21"/>
      <c r="K61" s="21"/>
      <c r="L61" s="21"/>
      <c r="M61" s="21"/>
      <c r="N61" s="21"/>
      <c r="O61" s="21"/>
      <c r="P61" s="21"/>
      <c r="Q61" s="21"/>
      <c r="R61" s="21"/>
      <c r="S61" s="21"/>
      <c r="T61" s="21"/>
      <c r="U61" s="21"/>
      <c r="V61" s="21"/>
      <c r="W61" s="21"/>
      <c r="X61" s="22" t="str">
        <f aca="false">IF(OR(N61="",N61=0),"",M61/N61)</f>
        <v/>
      </c>
      <c r="Y61" s="22" t="str">
        <f aca="false">IF(OR(M61="",M61=0),"",O61/M61)</f>
        <v/>
      </c>
      <c r="Z61" s="22" t="str">
        <f aca="false">IF(OR(Q61="",Q61=0),"",P61/Q61)</f>
        <v/>
      </c>
      <c r="AA61" s="22" t="str">
        <f aca="false">IF(OR(S61="",S61=0),"",R61/S61)</f>
        <v/>
      </c>
      <c r="AB61" s="23" t="str">
        <f aca="false">IF(OR(T61="",U61=""),"",T61-U61)</f>
        <v/>
      </c>
      <c r="AC61" s="22" t="str">
        <f aca="false">IF(OR(W61="",W61=0),"",V61/W61)</f>
        <v/>
      </c>
      <c r="AD61" s="24" t="str">
        <f aca="false">IF(B61="","",MONTH(B61))</f>
        <v/>
      </c>
    </row>
    <row r="62" customFormat="false" ht="15" hidden="false" customHeight="false" outlineLevel="0" collapsed="false">
      <c r="B62" s="19"/>
      <c r="C62" s="20"/>
      <c r="D62" s="21"/>
      <c r="E62" s="20"/>
      <c r="F62" s="21"/>
      <c r="G62" s="21"/>
      <c r="H62" s="20"/>
      <c r="I62" s="21"/>
      <c r="J62" s="21"/>
      <c r="K62" s="21"/>
      <c r="L62" s="21"/>
      <c r="M62" s="21"/>
      <c r="N62" s="21"/>
      <c r="O62" s="21"/>
      <c r="P62" s="21"/>
      <c r="Q62" s="21"/>
      <c r="R62" s="21"/>
      <c r="S62" s="21"/>
      <c r="T62" s="21"/>
      <c r="U62" s="21"/>
      <c r="V62" s="21"/>
      <c r="W62" s="21"/>
      <c r="X62" s="22" t="str">
        <f aca="false">IF(OR(N62="",N62=0),"",M62/N62)</f>
        <v/>
      </c>
      <c r="Y62" s="22" t="str">
        <f aca="false">IF(OR(M62="",M62=0),"",O62/M62)</f>
        <v/>
      </c>
      <c r="Z62" s="22" t="str">
        <f aca="false">IF(OR(Q62="",Q62=0),"",P62/Q62)</f>
        <v/>
      </c>
      <c r="AA62" s="22" t="str">
        <f aca="false">IF(OR(S62="",S62=0),"",R62/S62)</f>
        <v/>
      </c>
      <c r="AB62" s="23" t="str">
        <f aca="false">IF(OR(T62="",U62=""),"",T62-U62)</f>
        <v/>
      </c>
      <c r="AC62" s="22" t="str">
        <f aca="false">IF(OR(W62="",W62=0),"",V62/W62)</f>
        <v/>
      </c>
      <c r="AD62" s="24" t="str">
        <f aca="false">IF(B62="","",MONTH(B62))</f>
        <v/>
      </c>
    </row>
    <row r="63" customFormat="false" ht="15" hidden="false" customHeight="false" outlineLevel="0" collapsed="false">
      <c r="B63" s="19"/>
      <c r="C63" s="20"/>
      <c r="D63" s="21"/>
      <c r="E63" s="20"/>
      <c r="F63" s="21"/>
      <c r="G63" s="21"/>
      <c r="H63" s="20"/>
      <c r="I63" s="21"/>
      <c r="J63" s="21"/>
      <c r="K63" s="21"/>
      <c r="L63" s="21"/>
      <c r="M63" s="21"/>
      <c r="N63" s="21"/>
      <c r="O63" s="21"/>
      <c r="P63" s="21"/>
      <c r="Q63" s="21"/>
      <c r="R63" s="21"/>
      <c r="S63" s="21"/>
      <c r="T63" s="21"/>
      <c r="U63" s="21"/>
      <c r="V63" s="21"/>
      <c r="W63" s="21"/>
      <c r="X63" s="22" t="str">
        <f aca="false">IF(OR(N63="",N63=0),"",M63/N63)</f>
        <v/>
      </c>
      <c r="Y63" s="22" t="str">
        <f aca="false">IF(OR(M63="",M63=0),"",O63/M63)</f>
        <v/>
      </c>
      <c r="Z63" s="22" t="str">
        <f aca="false">IF(OR(Q63="",Q63=0),"",P63/Q63)</f>
        <v/>
      </c>
      <c r="AA63" s="22" t="str">
        <f aca="false">IF(OR(S63="",S63=0),"",R63/S63)</f>
        <v/>
      </c>
      <c r="AB63" s="23" t="str">
        <f aca="false">IF(OR(T63="",U63=""),"",T63-U63)</f>
        <v/>
      </c>
      <c r="AC63" s="22" t="str">
        <f aca="false">IF(OR(W63="",W63=0),"",V63/W63)</f>
        <v/>
      </c>
      <c r="AD63" s="24" t="str">
        <f aca="false">IF(B63="","",MONTH(B63))</f>
        <v/>
      </c>
    </row>
    <row r="64" customFormat="false" ht="15" hidden="false" customHeight="false" outlineLevel="0" collapsed="false">
      <c r="B64" s="19"/>
      <c r="C64" s="20"/>
      <c r="D64" s="21"/>
      <c r="E64" s="20"/>
      <c r="F64" s="21"/>
      <c r="G64" s="21"/>
      <c r="H64" s="20"/>
      <c r="I64" s="21"/>
      <c r="J64" s="21"/>
      <c r="K64" s="21"/>
      <c r="L64" s="21"/>
      <c r="M64" s="21"/>
      <c r="N64" s="21"/>
      <c r="O64" s="21"/>
      <c r="P64" s="21"/>
      <c r="Q64" s="21"/>
      <c r="R64" s="21"/>
      <c r="S64" s="21"/>
      <c r="T64" s="21"/>
      <c r="U64" s="21"/>
      <c r="V64" s="21"/>
      <c r="W64" s="21"/>
      <c r="X64" s="22" t="str">
        <f aca="false">IF(OR(N64="",N64=0),"",M64/N64)</f>
        <v/>
      </c>
      <c r="Y64" s="22" t="str">
        <f aca="false">IF(OR(M64="",M64=0),"",O64/M64)</f>
        <v/>
      </c>
      <c r="Z64" s="22" t="str">
        <f aca="false">IF(OR(Q64="",Q64=0),"",P64/Q64)</f>
        <v/>
      </c>
      <c r="AA64" s="22" t="str">
        <f aca="false">IF(OR(S64="",S64=0),"",R64/S64)</f>
        <v/>
      </c>
      <c r="AB64" s="23" t="str">
        <f aca="false">IF(OR(T64="",U64=""),"",T64-U64)</f>
        <v/>
      </c>
      <c r="AC64" s="22" t="str">
        <f aca="false">IF(OR(W64="",W64=0),"",V64/W64)</f>
        <v/>
      </c>
      <c r="AD64" s="24" t="str">
        <f aca="false">IF(B64="","",MONTH(B64))</f>
        <v/>
      </c>
    </row>
    <row r="65" customFormat="false" ht="15" hidden="false" customHeight="false" outlineLevel="0" collapsed="false">
      <c r="B65" s="19"/>
      <c r="C65" s="20"/>
      <c r="D65" s="21"/>
      <c r="E65" s="20"/>
      <c r="F65" s="21"/>
      <c r="G65" s="21"/>
      <c r="H65" s="20"/>
      <c r="I65" s="21"/>
      <c r="J65" s="21"/>
      <c r="K65" s="21"/>
      <c r="L65" s="21"/>
      <c r="M65" s="21"/>
      <c r="N65" s="21"/>
      <c r="O65" s="21"/>
      <c r="P65" s="21"/>
      <c r="Q65" s="21"/>
      <c r="R65" s="21"/>
      <c r="S65" s="21"/>
      <c r="T65" s="21"/>
      <c r="U65" s="21"/>
      <c r="V65" s="21"/>
      <c r="W65" s="21"/>
      <c r="X65" s="22" t="str">
        <f aca="false">IF(OR(N65="",N65=0),"",M65/N65)</f>
        <v/>
      </c>
      <c r="Y65" s="22" t="str">
        <f aca="false">IF(OR(M65="",M65=0),"",O65/M65)</f>
        <v/>
      </c>
      <c r="Z65" s="22" t="str">
        <f aca="false">IF(OR(Q65="",Q65=0),"",P65/Q65)</f>
        <v/>
      </c>
      <c r="AA65" s="22" t="str">
        <f aca="false">IF(OR(S65="",S65=0),"",R65/S65)</f>
        <v/>
      </c>
      <c r="AB65" s="23" t="str">
        <f aca="false">IF(OR(T65="",U65=""),"",T65-U65)</f>
        <v/>
      </c>
      <c r="AC65" s="22" t="str">
        <f aca="false">IF(OR(W65="",W65=0),"",V65/W65)</f>
        <v/>
      </c>
      <c r="AD65" s="24" t="str">
        <f aca="false">IF(B65="","",MONTH(B65))</f>
        <v/>
      </c>
    </row>
    <row r="66" customFormat="false" ht="15" hidden="false" customHeight="false" outlineLevel="0" collapsed="false">
      <c r="B66" s="19"/>
      <c r="C66" s="20"/>
      <c r="D66" s="21"/>
      <c r="E66" s="20"/>
      <c r="F66" s="21"/>
      <c r="G66" s="21"/>
      <c r="H66" s="20"/>
      <c r="I66" s="21"/>
      <c r="J66" s="21"/>
      <c r="K66" s="21"/>
      <c r="L66" s="21"/>
      <c r="M66" s="21"/>
      <c r="N66" s="21"/>
      <c r="O66" s="21"/>
      <c r="P66" s="21"/>
      <c r="Q66" s="21"/>
      <c r="R66" s="21"/>
      <c r="S66" s="21"/>
      <c r="T66" s="21"/>
      <c r="U66" s="21"/>
      <c r="V66" s="21"/>
      <c r="W66" s="21"/>
      <c r="X66" s="22" t="str">
        <f aca="false">IF(OR(N66="",N66=0),"",M66/N66)</f>
        <v/>
      </c>
      <c r="Y66" s="22" t="str">
        <f aca="false">IF(OR(M66="",M66=0),"",O66/M66)</f>
        <v/>
      </c>
      <c r="Z66" s="22" t="str">
        <f aca="false">IF(OR(Q66="",Q66=0),"",P66/Q66)</f>
        <v/>
      </c>
      <c r="AA66" s="22" t="str">
        <f aca="false">IF(OR(S66="",S66=0),"",R66/S66)</f>
        <v/>
      </c>
      <c r="AB66" s="23" t="str">
        <f aca="false">IF(OR(T66="",U66=""),"",T66-U66)</f>
        <v/>
      </c>
      <c r="AC66" s="22" t="str">
        <f aca="false">IF(OR(W66="",W66=0),"",V66/W66)</f>
        <v/>
      </c>
      <c r="AD66" s="24" t="str">
        <f aca="false">IF(B66="","",MONTH(B66))</f>
        <v/>
      </c>
    </row>
    <row r="67" customFormat="false" ht="15" hidden="false" customHeight="false" outlineLevel="0" collapsed="false">
      <c r="B67" s="19"/>
      <c r="C67" s="20"/>
      <c r="D67" s="21"/>
      <c r="E67" s="20"/>
      <c r="F67" s="21"/>
      <c r="G67" s="21"/>
      <c r="H67" s="20"/>
      <c r="I67" s="21"/>
      <c r="J67" s="21"/>
      <c r="K67" s="21"/>
      <c r="L67" s="21"/>
      <c r="M67" s="21"/>
      <c r="N67" s="21"/>
      <c r="O67" s="21"/>
      <c r="P67" s="21"/>
      <c r="Q67" s="21"/>
      <c r="R67" s="21"/>
      <c r="S67" s="21"/>
      <c r="T67" s="21"/>
      <c r="U67" s="21"/>
      <c r="V67" s="21"/>
      <c r="W67" s="21"/>
      <c r="X67" s="22" t="str">
        <f aca="false">IF(OR(N67="",N67=0),"",M67/N67)</f>
        <v/>
      </c>
      <c r="Y67" s="22" t="str">
        <f aca="false">IF(OR(M67="",M67=0),"",O67/M67)</f>
        <v/>
      </c>
      <c r="Z67" s="22" t="str">
        <f aca="false">IF(OR(Q67="",Q67=0),"",P67/Q67)</f>
        <v/>
      </c>
      <c r="AA67" s="22" t="str">
        <f aca="false">IF(OR(S67="",S67=0),"",R67/S67)</f>
        <v/>
      </c>
      <c r="AB67" s="23" t="str">
        <f aca="false">IF(OR(T67="",U67=""),"",T67-U67)</f>
        <v/>
      </c>
      <c r="AC67" s="22" t="str">
        <f aca="false">IF(OR(W67="",W67=0),"",V67/W67)</f>
        <v/>
      </c>
      <c r="AD67" s="24" t="str">
        <f aca="false">IF(B67="","",MONTH(B67))</f>
        <v/>
      </c>
    </row>
    <row r="68" customFormat="false" ht="15" hidden="false" customHeight="false" outlineLevel="0" collapsed="false">
      <c r="B68" s="19"/>
      <c r="C68" s="20"/>
      <c r="D68" s="21"/>
      <c r="E68" s="20"/>
      <c r="F68" s="21"/>
      <c r="G68" s="21"/>
      <c r="H68" s="20"/>
      <c r="I68" s="21"/>
      <c r="J68" s="21"/>
      <c r="K68" s="21"/>
      <c r="L68" s="21"/>
      <c r="M68" s="21"/>
      <c r="N68" s="21"/>
      <c r="O68" s="21"/>
      <c r="P68" s="21"/>
      <c r="Q68" s="21"/>
      <c r="R68" s="21"/>
      <c r="S68" s="21"/>
      <c r="T68" s="21"/>
      <c r="U68" s="21"/>
      <c r="V68" s="21"/>
      <c r="W68" s="21"/>
      <c r="X68" s="22" t="str">
        <f aca="false">IF(OR(N68="",N68=0),"",M68/N68)</f>
        <v/>
      </c>
      <c r="Y68" s="22" t="str">
        <f aca="false">IF(OR(M68="",M68=0),"",O68/M68)</f>
        <v/>
      </c>
      <c r="Z68" s="22" t="str">
        <f aca="false">IF(OR(Q68="",Q68=0),"",P68/Q68)</f>
        <v/>
      </c>
      <c r="AA68" s="22" t="str">
        <f aca="false">IF(OR(S68="",S68=0),"",R68/S68)</f>
        <v/>
      </c>
      <c r="AB68" s="23" t="str">
        <f aca="false">IF(OR(T68="",U68=""),"",T68-U68)</f>
        <v/>
      </c>
      <c r="AC68" s="22" t="str">
        <f aca="false">IF(OR(W68="",W68=0),"",V68/W68)</f>
        <v/>
      </c>
      <c r="AD68" s="24" t="str">
        <f aca="false">IF(B68="","",MONTH(B68))</f>
        <v/>
      </c>
    </row>
    <row r="69" customFormat="false" ht="15" hidden="false" customHeight="false" outlineLevel="0" collapsed="false">
      <c r="B69" s="19"/>
      <c r="C69" s="20"/>
      <c r="D69" s="21"/>
      <c r="E69" s="20"/>
      <c r="F69" s="21"/>
      <c r="G69" s="21"/>
      <c r="H69" s="20"/>
      <c r="I69" s="21"/>
      <c r="J69" s="21"/>
      <c r="K69" s="21"/>
      <c r="L69" s="21"/>
      <c r="M69" s="21"/>
      <c r="N69" s="21"/>
      <c r="O69" s="21"/>
      <c r="P69" s="21"/>
      <c r="Q69" s="21"/>
      <c r="R69" s="21"/>
      <c r="S69" s="21"/>
      <c r="T69" s="21"/>
      <c r="U69" s="21"/>
      <c r="V69" s="21"/>
      <c r="W69" s="21"/>
      <c r="X69" s="22" t="str">
        <f aca="false">IF(OR(N69="",N69=0),"",M69/N69)</f>
        <v/>
      </c>
      <c r="Y69" s="22" t="str">
        <f aca="false">IF(OR(M69="",M69=0),"",O69/M69)</f>
        <v/>
      </c>
      <c r="Z69" s="22" t="str">
        <f aca="false">IF(OR(Q69="",Q69=0),"",P69/Q69)</f>
        <v/>
      </c>
      <c r="AA69" s="22" t="str">
        <f aca="false">IF(OR(S69="",S69=0),"",R69/S69)</f>
        <v/>
      </c>
      <c r="AB69" s="23" t="str">
        <f aca="false">IF(OR(T69="",U69=""),"",T69-U69)</f>
        <v/>
      </c>
      <c r="AC69" s="22" t="str">
        <f aca="false">IF(OR(W69="",W69=0),"",V69/W69)</f>
        <v/>
      </c>
      <c r="AD69" s="24" t="str">
        <f aca="false">IF(B69="","",MONTH(B69))</f>
        <v/>
      </c>
    </row>
    <row r="70" customFormat="false" ht="15" hidden="false" customHeight="false" outlineLevel="0" collapsed="false">
      <c r="B70" s="19"/>
      <c r="C70" s="20"/>
      <c r="D70" s="21"/>
      <c r="E70" s="20"/>
      <c r="F70" s="21"/>
      <c r="G70" s="21"/>
      <c r="H70" s="20"/>
      <c r="I70" s="21"/>
      <c r="J70" s="21"/>
      <c r="K70" s="21"/>
      <c r="L70" s="21"/>
      <c r="M70" s="21"/>
      <c r="N70" s="21"/>
      <c r="O70" s="21"/>
      <c r="P70" s="21"/>
      <c r="Q70" s="21"/>
      <c r="R70" s="21"/>
      <c r="S70" s="21"/>
      <c r="T70" s="21"/>
      <c r="U70" s="21"/>
      <c r="V70" s="21"/>
      <c r="W70" s="21"/>
      <c r="X70" s="22" t="str">
        <f aca="false">IF(OR(N70="",N70=0),"",M70/N70)</f>
        <v/>
      </c>
      <c r="Y70" s="22" t="str">
        <f aca="false">IF(OR(M70="",M70=0),"",O70/M70)</f>
        <v/>
      </c>
      <c r="Z70" s="22" t="str">
        <f aca="false">IF(OR(Q70="",Q70=0),"",P70/Q70)</f>
        <v/>
      </c>
      <c r="AA70" s="22" t="str">
        <f aca="false">IF(OR(S70="",S70=0),"",R70/S70)</f>
        <v/>
      </c>
      <c r="AB70" s="23" t="str">
        <f aca="false">IF(OR(T70="",U70=""),"",T70-U70)</f>
        <v/>
      </c>
      <c r="AC70" s="22" t="str">
        <f aca="false">IF(OR(W70="",W70=0),"",V70/W70)</f>
        <v/>
      </c>
      <c r="AD70" s="24" t="str">
        <f aca="false">IF(B70="","",MONTH(B70))</f>
        <v/>
      </c>
    </row>
    <row r="71" customFormat="false" ht="15" hidden="false" customHeight="false" outlineLevel="0" collapsed="false">
      <c r="B71" s="19"/>
      <c r="C71" s="20"/>
      <c r="D71" s="21"/>
      <c r="E71" s="20"/>
      <c r="F71" s="21"/>
      <c r="G71" s="21"/>
      <c r="H71" s="20"/>
      <c r="I71" s="21"/>
      <c r="J71" s="21"/>
      <c r="K71" s="21"/>
      <c r="L71" s="21"/>
      <c r="M71" s="21"/>
      <c r="N71" s="21"/>
      <c r="O71" s="21"/>
      <c r="P71" s="21"/>
      <c r="Q71" s="21"/>
      <c r="R71" s="21"/>
      <c r="S71" s="21"/>
      <c r="T71" s="21"/>
      <c r="U71" s="21"/>
      <c r="V71" s="21"/>
      <c r="W71" s="21"/>
      <c r="X71" s="22" t="str">
        <f aca="false">IF(OR(N71="",N71=0),"",M71/N71)</f>
        <v/>
      </c>
      <c r="Y71" s="22" t="str">
        <f aca="false">IF(OR(M71="",M71=0),"",O71/M71)</f>
        <v/>
      </c>
      <c r="Z71" s="22" t="str">
        <f aca="false">IF(OR(Q71="",Q71=0),"",P71/Q71)</f>
        <v/>
      </c>
      <c r="AA71" s="22" t="str">
        <f aca="false">IF(OR(S71="",S71=0),"",R71/S71)</f>
        <v/>
      </c>
      <c r="AB71" s="23" t="str">
        <f aca="false">IF(OR(T71="",U71=""),"",T71-U71)</f>
        <v/>
      </c>
      <c r="AC71" s="22" t="str">
        <f aca="false">IF(OR(W71="",W71=0),"",V71/W71)</f>
        <v/>
      </c>
      <c r="AD71" s="24" t="str">
        <f aca="false">IF(B71="","",MONTH(B71))</f>
        <v/>
      </c>
    </row>
    <row r="72" customFormat="false" ht="15" hidden="false" customHeight="false" outlineLevel="0" collapsed="false">
      <c r="B72" s="19"/>
      <c r="C72" s="20"/>
      <c r="D72" s="21"/>
      <c r="E72" s="20"/>
      <c r="F72" s="21"/>
      <c r="G72" s="21"/>
      <c r="H72" s="20"/>
      <c r="I72" s="21"/>
      <c r="J72" s="21"/>
      <c r="K72" s="21"/>
      <c r="L72" s="21"/>
      <c r="M72" s="21"/>
      <c r="N72" s="21"/>
      <c r="O72" s="21"/>
      <c r="P72" s="21"/>
      <c r="Q72" s="21"/>
      <c r="R72" s="21"/>
      <c r="S72" s="21"/>
      <c r="T72" s="21"/>
      <c r="U72" s="21"/>
      <c r="V72" s="21"/>
      <c r="W72" s="21"/>
      <c r="X72" s="22" t="str">
        <f aca="false">IF(OR(N72="",N72=0),"",M72/N72)</f>
        <v/>
      </c>
      <c r="Y72" s="22" t="str">
        <f aca="false">IF(OR(M72="",M72=0),"",O72/M72)</f>
        <v/>
      </c>
      <c r="Z72" s="22" t="str">
        <f aca="false">IF(OR(Q72="",Q72=0),"",P72/Q72)</f>
        <v/>
      </c>
      <c r="AA72" s="22" t="str">
        <f aca="false">IF(OR(S72="",S72=0),"",R72/S72)</f>
        <v/>
      </c>
      <c r="AB72" s="23" t="str">
        <f aca="false">IF(OR(T72="",U72=""),"",T72-U72)</f>
        <v/>
      </c>
      <c r="AC72" s="22" t="str">
        <f aca="false">IF(OR(W72="",W72=0),"",V72/W72)</f>
        <v/>
      </c>
      <c r="AD72" s="24" t="str">
        <f aca="false">IF(B72="","",MONTH(B72))</f>
        <v/>
      </c>
    </row>
    <row r="73" customFormat="false" ht="15" hidden="false" customHeight="false" outlineLevel="0" collapsed="false">
      <c r="B73" s="19"/>
      <c r="C73" s="20"/>
      <c r="D73" s="21"/>
      <c r="E73" s="20"/>
      <c r="F73" s="21"/>
      <c r="G73" s="21"/>
      <c r="H73" s="20"/>
      <c r="I73" s="21"/>
      <c r="J73" s="21"/>
      <c r="K73" s="21"/>
      <c r="L73" s="21"/>
      <c r="M73" s="21"/>
      <c r="N73" s="21"/>
      <c r="O73" s="21"/>
      <c r="P73" s="21"/>
      <c r="Q73" s="21"/>
      <c r="R73" s="21"/>
      <c r="S73" s="21"/>
      <c r="T73" s="21"/>
      <c r="U73" s="21"/>
      <c r="V73" s="21"/>
      <c r="W73" s="21"/>
      <c r="X73" s="22" t="str">
        <f aca="false">IF(OR(N73="",N73=0),"",M73/N73)</f>
        <v/>
      </c>
      <c r="Y73" s="22" t="str">
        <f aca="false">IF(OR(M73="",M73=0),"",O73/M73)</f>
        <v/>
      </c>
      <c r="Z73" s="22" t="str">
        <f aca="false">IF(OR(Q73="",Q73=0),"",P73/Q73)</f>
        <v/>
      </c>
      <c r="AA73" s="22" t="str">
        <f aca="false">IF(OR(S73="",S73=0),"",R73/S73)</f>
        <v/>
      </c>
      <c r="AB73" s="23" t="str">
        <f aca="false">IF(OR(T73="",U73=""),"",T73-U73)</f>
        <v/>
      </c>
      <c r="AC73" s="22" t="str">
        <f aca="false">IF(OR(W73="",W73=0),"",V73/W73)</f>
        <v/>
      </c>
      <c r="AD73" s="24" t="str">
        <f aca="false">IF(B73="","",MONTH(B73))</f>
        <v/>
      </c>
    </row>
    <row r="74" customFormat="false" ht="15" hidden="false" customHeight="false" outlineLevel="0" collapsed="false">
      <c r="B74" s="19"/>
      <c r="C74" s="20"/>
      <c r="D74" s="21"/>
      <c r="E74" s="20"/>
      <c r="F74" s="21"/>
      <c r="G74" s="21"/>
      <c r="H74" s="20"/>
      <c r="I74" s="21"/>
      <c r="J74" s="21"/>
      <c r="K74" s="21"/>
      <c r="L74" s="21"/>
      <c r="M74" s="21"/>
      <c r="N74" s="21"/>
      <c r="O74" s="21"/>
      <c r="P74" s="21"/>
      <c r="Q74" s="21"/>
      <c r="R74" s="21"/>
      <c r="S74" s="21"/>
      <c r="T74" s="21"/>
      <c r="U74" s="21"/>
      <c r="V74" s="21"/>
      <c r="W74" s="21"/>
      <c r="X74" s="22" t="str">
        <f aca="false">IF(OR(N74="",N74=0),"",M74/N74)</f>
        <v/>
      </c>
      <c r="Y74" s="22" t="str">
        <f aca="false">IF(OR(M74="",M74=0),"",O74/M74)</f>
        <v/>
      </c>
      <c r="Z74" s="22" t="str">
        <f aca="false">IF(OR(Q74="",Q74=0),"",P74/Q74)</f>
        <v/>
      </c>
      <c r="AA74" s="22" t="str">
        <f aca="false">IF(OR(S74="",S74=0),"",R74/S74)</f>
        <v/>
      </c>
      <c r="AB74" s="23" t="str">
        <f aca="false">IF(OR(T74="",U74=""),"",T74-U74)</f>
        <v/>
      </c>
      <c r="AC74" s="22" t="str">
        <f aca="false">IF(OR(W74="",W74=0),"",V74/W74)</f>
        <v/>
      </c>
      <c r="AD74" s="24" t="str">
        <f aca="false">IF(B74="","",MONTH(B74))</f>
        <v/>
      </c>
    </row>
    <row r="75" customFormat="false" ht="15" hidden="false" customHeight="false" outlineLevel="0" collapsed="false">
      <c r="B75" s="19"/>
      <c r="C75" s="20"/>
      <c r="D75" s="21"/>
      <c r="E75" s="20"/>
      <c r="F75" s="21"/>
      <c r="G75" s="21"/>
      <c r="H75" s="20"/>
      <c r="I75" s="21"/>
      <c r="J75" s="21"/>
      <c r="K75" s="21"/>
      <c r="L75" s="21"/>
      <c r="M75" s="21"/>
      <c r="N75" s="21"/>
      <c r="O75" s="21"/>
      <c r="P75" s="21"/>
      <c r="Q75" s="21"/>
      <c r="R75" s="21"/>
      <c r="S75" s="21"/>
      <c r="T75" s="21"/>
      <c r="U75" s="21"/>
      <c r="V75" s="21"/>
      <c r="W75" s="21"/>
      <c r="X75" s="22" t="str">
        <f aca="false">IF(OR(N75="",N75=0),"",M75/N75)</f>
        <v/>
      </c>
      <c r="Y75" s="22" t="str">
        <f aca="false">IF(OR(M75="",M75=0),"",O75/M75)</f>
        <v/>
      </c>
      <c r="Z75" s="22" t="str">
        <f aca="false">IF(OR(Q75="",Q75=0),"",P75/Q75)</f>
        <v/>
      </c>
      <c r="AA75" s="22" t="str">
        <f aca="false">IF(OR(S75="",S75=0),"",R75/S75)</f>
        <v/>
      </c>
      <c r="AB75" s="23" t="str">
        <f aca="false">IF(OR(T75="",U75=""),"",T75-U75)</f>
        <v/>
      </c>
      <c r="AC75" s="22" t="str">
        <f aca="false">IF(OR(W75="",W75=0),"",V75/W75)</f>
        <v/>
      </c>
      <c r="AD75" s="24" t="str">
        <f aca="false">IF(B75="","",MONTH(B75))</f>
        <v/>
      </c>
    </row>
    <row r="76" customFormat="false" ht="15" hidden="false" customHeight="false" outlineLevel="0" collapsed="false">
      <c r="B76" s="19"/>
      <c r="C76" s="20"/>
      <c r="D76" s="21"/>
      <c r="E76" s="20"/>
      <c r="F76" s="21"/>
      <c r="G76" s="21"/>
      <c r="H76" s="20"/>
      <c r="I76" s="21"/>
      <c r="J76" s="21"/>
      <c r="K76" s="21"/>
      <c r="L76" s="21"/>
      <c r="M76" s="21"/>
      <c r="N76" s="21"/>
      <c r="O76" s="21"/>
      <c r="P76" s="21"/>
      <c r="Q76" s="21"/>
      <c r="R76" s="21"/>
      <c r="S76" s="21"/>
      <c r="T76" s="21"/>
      <c r="U76" s="21"/>
      <c r="V76" s="21"/>
      <c r="W76" s="21"/>
      <c r="X76" s="22" t="str">
        <f aca="false">IF(OR(N76="",N76=0),"",M76/N76)</f>
        <v/>
      </c>
      <c r="Y76" s="22" t="str">
        <f aca="false">IF(OR(M76="",M76=0),"",O76/M76)</f>
        <v/>
      </c>
      <c r="Z76" s="22" t="str">
        <f aca="false">IF(OR(Q76="",Q76=0),"",P76/Q76)</f>
        <v/>
      </c>
      <c r="AA76" s="22" t="str">
        <f aca="false">IF(OR(S76="",S76=0),"",R76/S76)</f>
        <v/>
      </c>
      <c r="AB76" s="23" t="str">
        <f aca="false">IF(OR(T76="",U76=""),"",T76-U76)</f>
        <v/>
      </c>
      <c r="AC76" s="22" t="str">
        <f aca="false">IF(OR(W76="",W76=0),"",V76/W76)</f>
        <v/>
      </c>
      <c r="AD76" s="24" t="str">
        <f aca="false">IF(B76="","",MONTH(B76))</f>
        <v/>
      </c>
    </row>
    <row r="77" customFormat="false" ht="15" hidden="false" customHeight="false" outlineLevel="0" collapsed="false">
      <c r="B77" s="19"/>
      <c r="C77" s="20"/>
      <c r="D77" s="21"/>
      <c r="E77" s="20"/>
      <c r="F77" s="21"/>
      <c r="G77" s="21"/>
      <c r="H77" s="20"/>
      <c r="I77" s="21"/>
      <c r="J77" s="21"/>
      <c r="K77" s="21"/>
      <c r="L77" s="21"/>
      <c r="M77" s="21"/>
      <c r="N77" s="21"/>
      <c r="O77" s="21"/>
      <c r="P77" s="21"/>
      <c r="Q77" s="21"/>
      <c r="R77" s="21"/>
      <c r="S77" s="21"/>
      <c r="T77" s="21"/>
      <c r="U77" s="21"/>
      <c r="V77" s="21"/>
      <c r="W77" s="21"/>
      <c r="X77" s="22" t="str">
        <f aca="false">IF(OR(N77="",N77=0),"",M77/N77)</f>
        <v/>
      </c>
      <c r="Y77" s="22" t="str">
        <f aca="false">IF(OR(M77="",M77=0),"",O77/M77)</f>
        <v/>
      </c>
      <c r="Z77" s="22" t="str">
        <f aca="false">IF(OR(Q77="",Q77=0),"",P77/Q77)</f>
        <v/>
      </c>
      <c r="AA77" s="22" t="str">
        <f aca="false">IF(OR(S77="",S77=0),"",R77/S77)</f>
        <v/>
      </c>
      <c r="AB77" s="23" t="str">
        <f aca="false">IF(OR(T77="",U77=""),"",T77-U77)</f>
        <v/>
      </c>
      <c r="AC77" s="22" t="str">
        <f aca="false">IF(OR(W77="",W77=0),"",V77/W77)</f>
        <v/>
      </c>
      <c r="AD77" s="24" t="str">
        <f aca="false">IF(B77="","",MONTH(B77))</f>
        <v/>
      </c>
    </row>
    <row r="78" customFormat="false" ht="15" hidden="false" customHeight="false" outlineLevel="0" collapsed="false">
      <c r="B78" s="19"/>
      <c r="C78" s="20"/>
      <c r="D78" s="21"/>
      <c r="E78" s="20"/>
      <c r="F78" s="21"/>
      <c r="G78" s="21"/>
      <c r="H78" s="20"/>
      <c r="I78" s="21"/>
      <c r="J78" s="21"/>
      <c r="K78" s="21"/>
      <c r="L78" s="21"/>
      <c r="M78" s="21"/>
      <c r="N78" s="21"/>
      <c r="O78" s="21"/>
      <c r="P78" s="21"/>
      <c r="Q78" s="21"/>
      <c r="R78" s="21"/>
      <c r="S78" s="21"/>
      <c r="T78" s="21"/>
      <c r="U78" s="21"/>
      <c r="V78" s="21"/>
      <c r="W78" s="21"/>
      <c r="X78" s="22" t="str">
        <f aca="false">IF(OR(N78="",N78=0),"",M78/N78)</f>
        <v/>
      </c>
      <c r="Y78" s="22" t="str">
        <f aca="false">IF(OR(M78="",M78=0),"",O78/M78)</f>
        <v/>
      </c>
      <c r="Z78" s="22" t="str">
        <f aca="false">IF(OR(Q78="",Q78=0),"",P78/Q78)</f>
        <v/>
      </c>
      <c r="AA78" s="22" t="str">
        <f aca="false">IF(OR(S78="",S78=0),"",R78/S78)</f>
        <v/>
      </c>
      <c r="AB78" s="23" t="str">
        <f aca="false">IF(OR(T78="",U78=""),"",T78-U78)</f>
        <v/>
      </c>
      <c r="AC78" s="22" t="str">
        <f aca="false">IF(OR(W78="",W78=0),"",V78/W78)</f>
        <v/>
      </c>
      <c r="AD78" s="24" t="str">
        <f aca="false">IF(B78="","",MONTH(B78))</f>
        <v/>
      </c>
    </row>
    <row r="79" customFormat="false" ht="15" hidden="false" customHeight="false" outlineLevel="0" collapsed="false">
      <c r="B79" s="19"/>
      <c r="C79" s="20"/>
      <c r="D79" s="21"/>
      <c r="E79" s="20"/>
      <c r="F79" s="21"/>
      <c r="G79" s="21"/>
      <c r="H79" s="20"/>
      <c r="I79" s="21"/>
      <c r="J79" s="21"/>
      <c r="K79" s="21"/>
      <c r="L79" s="21"/>
      <c r="M79" s="21"/>
      <c r="N79" s="21"/>
      <c r="O79" s="21"/>
      <c r="P79" s="21"/>
      <c r="Q79" s="21"/>
      <c r="R79" s="21"/>
      <c r="S79" s="21"/>
      <c r="T79" s="21"/>
      <c r="U79" s="21"/>
      <c r="V79" s="21"/>
      <c r="W79" s="21"/>
      <c r="X79" s="22" t="str">
        <f aca="false">IF(OR(N79="",N79=0),"",M79/N79)</f>
        <v/>
      </c>
      <c r="Y79" s="22" t="str">
        <f aca="false">IF(OR(M79="",M79=0),"",O79/M79)</f>
        <v/>
      </c>
      <c r="Z79" s="22" t="str">
        <f aca="false">IF(OR(Q79="",Q79=0),"",P79/Q79)</f>
        <v/>
      </c>
      <c r="AA79" s="22" t="str">
        <f aca="false">IF(OR(S79="",S79=0),"",R79/S79)</f>
        <v/>
      </c>
      <c r="AB79" s="23" t="str">
        <f aca="false">IF(OR(T79="",U79=""),"",T79-U79)</f>
        <v/>
      </c>
      <c r="AC79" s="22" t="str">
        <f aca="false">IF(OR(W79="",W79=0),"",V79/W79)</f>
        <v/>
      </c>
      <c r="AD79" s="24" t="str">
        <f aca="false">IF(B79="","",MONTH(B79))</f>
        <v/>
      </c>
    </row>
    <row r="80" customFormat="false" ht="15" hidden="false" customHeight="false" outlineLevel="0" collapsed="false">
      <c r="B80" s="19"/>
      <c r="C80" s="20"/>
      <c r="D80" s="21"/>
      <c r="E80" s="20"/>
      <c r="F80" s="21"/>
      <c r="G80" s="21"/>
      <c r="H80" s="20"/>
      <c r="I80" s="21"/>
      <c r="J80" s="21"/>
      <c r="K80" s="21"/>
      <c r="L80" s="21"/>
      <c r="M80" s="21"/>
      <c r="N80" s="21"/>
      <c r="O80" s="21"/>
      <c r="P80" s="21"/>
      <c r="Q80" s="21"/>
      <c r="R80" s="21"/>
      <c r="S80" s="21"/>
      <c r="T80" s="21"/>
      <c r="U80" s="21"/>
      <c r="V80" s="21"/>
      <c r="W80" s="21"/>
      <c r="X80" s="22" t="str">
        <f aca="false">IF(OR(N80="",N80=0),"",M80/N80)</f>
        <v/>
      </c>
      <c r="Y80" s="22" t="str">
        <f aca="false">IF(OR(M80="",M80=0),"",O80/M80)</f>
        <v/>
      </c>
      <c r="Z80" s="22" t="str">
        <f aca="false">IF(OR(Q80="",Q80=0),"",P80/Q80)</f>
        <v/>
      </c>
      <c r="AA80" s="22" t="str">
        <f aca="false">IF(OR(S80="",S80=0),"",R80/S80)</f>
        <v/>
      </c>
      <c r="AB80" s="23" t="str">
        <f aca="false">IF(OR(T80="",U80=""),"",T80-U80)</f>
        <v/>
      </c>
      <c r="AC80" s="22" t="str">
        <f aca="false">IF(OR(W80="",W80=0),"",V80/W80)</f>
        <v/>
      </c>
      <c r="AD80" s="24" t="str">
        <f aca="false">IF(B80="","",MONTH(B80))</f>
        <v/>
      </c>
    </row>
    <row r="81" customFormat="false" ht="15" hidden="false" customHeight="false" outlineLevel="0" collapsed="false">
      <c r="B81" s="19"/>
      <c r="C81" s="20"/>
      <c r="D81" s="21"/>
      <c r="E81" s="20"/>
      <c r="F81" s="21"/>
      <c r="G81" s="21"/>
      <c r="H81" s="20"/>
      <c r="I81" s="21"/>
      <c r="J81" s="21"/>
      <c r="K81" s="21"/>
      <c r="L81" s="21"/>
      <c r="M81" s="21"/>
      <c r="N81" s="21"/>
      <c r="O81" s="21"/>
      <c r="P81" s="21"/>
      <c r="Q81" s="21"/>
      <c r="R81" s="21"/>
      <c r="S81" s="21"/>
      <c r="T81" s="21"/>
      <c r="U81" s="21"/>
      <c r="V81" s="21"/>
      <c r="W81" s="21"/>
      <c r="X81" s="22" t="str">
        <f aca="false">IF(OR(N81="",N81=0),"",M81/N81)</f>
        <v/>
      </c>
      <c r="Y81" s="22" t="str">
        <f aca="false">IF(OR(M81="",M81=0),"",O81/M81)</f>
        <v/>
      </c>
      <c r="Z81" s="22" t="str">
        <f aca="false">IF(OR(Q81="",Q81=0),"",P81/Q81)</f>
        <v/>
      </c>
      <c r="AA81" s="22" t="str">
        <f aca="false">IF(OR(S81="",S81=0),"",R81/S81)</f>
        <v/>
      </c>
      <c r="AB81" s="23" t="str">
        <f aca="false">IF(OR(T81="",U81=""),"",T81-U81)</f>
        <v/>
      </c>
      <c r="AC81" s="22" t="str">
        <f aca="false">IF(OR(W81="",W81=0),"",V81/W81)</f>
        <v/>
      </c>
      <c r="AD81" s="24" t="str">
        <f aca="false">IF(B81="","",MONTH(B81))</f>
        <v/>
      </c>
    </row>
    <row r="82" customFormat="false" ht="15" hidden="false" customHeight="false" outlineLevel="0" collapsed="false">
      <c r="B82" s="19"/>
      <c r="C82" s="20"/>
      <c r="D82" s="21"/>
      <c r="E82" s="20"/>
      <c r="F82" s="21"/>
      <c r="G82" s="21"/>
      <c r="H82" s="20"/>
      <c r="I82" s="21"/>
      <c r="J82" s="21"/>
      <c r="K82" s="21"/>
      <c r="L82" s="21"/>
      <c r="M82" s="21"/>
      <c r="N82" s="21"/>
      <c r="O82" s="21"/>
      <c r="P82" s="21"/>
      <c r="Q82" s="21"/>
      <c r="R82" s="21"/>
      <c r="S82" s="21"/>
      <c r="T82" s="21"/>
      <c r="U82" s="21"/>
      <c r="V82" s="21"/>
      <c r="W82" s="21"/>
      <c r="X82" s="22" t="str">
        <f aca="false">IF(OR(N82="",N82=0),"",M82/N82)</f>
        <v/>
      </c>
      <c r="Y82" s="22" t="str">
        <f aca="false">IF(OR(M82="",M82=0),"",O82/M82)</f>
        <v/>
      </c>
      <c r="Z82" s="22" t="str">
        <f aca="false">IF(OR(Q82="",Q82=0),"",P82/Q82)</f>
        <v/>
      </c>
      <c r="AA82" s="22" t="str">
        <f aca="false">IF(OR(S82="",S82=0),"",R82/S82)</f>
        <v/>
      </c>
      <c r="AB82" s="23" t="str">
        <f aca="false">IF(OR(T82="",U82=""),"",T82-U82)</f>
        <v/>
      </c>
      <c r="AC82" s="22" t="str">
        <f aca="false">IF(OR(W82="",W82=0),"",V82/W82)</f>
        <v/>
      </c>
      <c r="AD82" s="24" t="str">
        <f aca="false">IF(B82="","",MONTH(B82))</f>
        <v/>
      </c>
    </row>
    <row r="83" customFormat="false" ht="15" hidden="false" customHeight="false" outlineLevel="0" collapsed="false">
      <c r="B83" s="19"/>
      <c r="C83" s="20"/>
      <c r="D83" s="21"/>
      <c r="E83" s="20"/>
      <c r="F83" s="21"/>
      <c r="G83" s="21"/>
      <c r="H83" s="20"/>
      <c r="I83" s="21"/>
      <c r="J83" s="21"/>
      <c r="K83" s="21"/>
      <c r="L83" s="21"/>
      <c r="M83" s="21"/>
      <c r="N83" s="21"/>
      <c r="O83" s="21"/>
      <c r="P83" s="21"/>
      <c r="Q83" s="21"/>
      <c r="R83" s="21"/>
      <c r="S83" s="21"/>
      <c r="T83" s="21"/>
      <c r="U83" s="21"/>
      <c r="V83" s="21"/>
      <c r="W83" s="21"/>
      <c r="X83" s="22" t="str">
        <f aca="false">IF(OR(N83="",N83=0),"",M83/N83)</f>
        <v/>
      </c>
      <c r="Y83" s="22" t="str">
        <f aca="false">IF(OR(M83="",M83=0),"",O83/M83)</f>
        <v/>
      </c>
      <c r="Z83" s="22" t="str">
        <f aca="false">IF(OR(Q83="",Q83=0),"",P83/Q83)</f>
        <v/>
      </c>
      <c r="AA83" s="22" t="str">
        <f aca="false">IF(OR(S83="",S83=0),"",R83/S83)</f>
        <v/>
      </c>
      <c r="AB83" s="23" t="str">
        <f aca="false">IF(OR(T83="",U83=""),"",T83-U83)</f>
        <v/>
      </c>
      <c r="AC83" s="22" t="str">
        <f aca="false">IF(OR(W83="",W83=0),"",V83/W83)</f>
        <v/>
      </c>
      <c r="AD83" s="24" t="str">
        <f aca="false">IF(B83="","",MONTH(B83))</f>
        <v/>
      </c>
    </row>
    <row r="84" customFormat="false" ht="15" hidden="false" customHeight="false" outlineLevel="0" collapsed="false">
      <c r="B84" s="19"/>
      <c r="C84" s="20"/>
      <c r="D84" s="21"/>
      <c r="E84" s="20"/>
      <c r="F84" s="21"/>
      <c r="G84" s="21"/>
      <c r="H84" s="20"/>
      <c r="I84" s="21"/>
      <c r="J84" s="21"/>
      <c r="K84" s="21"/>
      <c r="L84" s="21"/>
      <c r="M84" s="21"/>
      <c r="N84" s="21"/>
      <c r="O84" s="21"/>
      <c r="P84" s="21"/>
      <c r="Q84" s="21"/>
      <c r="R84" s="21"/>
      <c r="S84" s="21"/>
      <c r="T84" s="21"/>
      <c r="U84" s="21"/>
      <c r="V84" s="21"/>
      <c r="W84" s="21"/>
      <c r="X84" s="22" t="str">
        <f aca="false">IF(OR(N84="",N84=0),"",M84/N84)</f>
        <v/>
      </c>
      <c r="Y84" s="22" t="str">
        <f aca="false">IF(OR(M84="",M84=0),"",O84/M84)</f>
        <v/>
      </c>
      <c r="Z84" s="22" t="str">
        <f aca="false">IF(OR(Q84="",Q84=0),"",P84/Q84)</f>
        <v/>
      </c>
      <c r="AA84" s="22" t="str">
        <f aca="false">IF(OR(S84="",S84=0),"",R84/S84)</f>
        <v/>
      </c>
      <c r="AB84" s="23" t="str">
        <f aca="false">IF(OR(T84="",U84=""),"",T84-U84)</f>
        <v/>
      </c>
      <c r="AC84" s="22" t="str">
        <f aca="false">IF(OR(W84="",W84=0),"",V84/W84)</f>
        <v/>
      </c>
      <c r="AD84" s="24" t="str">
        <f aca="false">IF(B84="","",MONTH(B84))</f>
        <v/>
      </c>
    </row>
    <row r="85" customFormat="false" ht="15" hidden="false" customHeight="false" outlineLevel="0" collapsed="false">
      <c r="B85" s="19"/>
      <c r="C85" s="20"/>
      <c r="D85" s="21"/>
      <c r="E85" s="20"/>
      <c r="F85" s="21"/>
      <c r="G85" s="21"/>
      <c r="H85" s="20"/>
      <c r="I85" s="21"/>
      <c r="J85" s="21"/>
      <c r="K85" s="21"/>
      <c r="L85" s="21"/>
      <c r="M85" s="21"/>
      <c r="N85" s="21"/>
      <c r="O85" s="21"/>
      <c r="P85" s="21"/>
      <c r="Q85" s="21"/>
      <c r="R85" s="21"/>
      <c r="S85" s="21"/>
      <c r="T85" s="21"/>
      <c r="U85" s="21"/>
      <c r="V85" s="21"/>
      <c r="W85" s="21"/>
      <c r="X85" s="22" t="str">
        <f aca="false">IF(OR(N85="",N85=0),"",M85/N85)</f>
        <v/>
      </c>
      <c r="Y85" s="22" t="str">
        <f aca="false">IF(OR(M85="",M85=0),"",O85/M85)</f>
        <v/>
      </c>
      <c r="Z85" s="22" t="str">
        <f aca="false">IF(OR(Q85="",Q85=0),"",P85/Q85)</f>
        <v/>
      </c>
      <c r="AA85" s="22" t="str">
        <f aca="false">IF(OR(S85="",S85=0),"",R85/S85)</f>
        <v/>
      </c>
      <c r="AB85" s="23" t="str">
        <f aca="false">IF(OR(T85="",U85=""),"",T85-U85)</f>
        <v/>
      </c>
      <c r="AC85" s="22" t="str">
        <f aca="false">IF(OR(W85="",W85=0),"",V85/W85)</f>
        <v/>
      </c>
      <c r="AD85" s="24" t="str">
        <f aca="false">IF(B85="","",MONTH(B85))</f>
        <v/>
      </c>
    </row>
    <row r="86" customFormat="false" ht="15" hidden="false" customHeight="false" outlineLevel="0" collapsed="false">
      <c r="B86" s="19"/>
      <c r="C86" s="20"/>
      <c r="D86" s="21"/>
      <c r="E86" s="20"/>
      <c r="F86" s="21"/>
      <c r="G86" s="21"/>
      <c r="H86" s="20"/>
      <c r="I86" s="21"/>
      <c r="J86" s="21"/>
      <c r="K86" s="21"/>
      <c r="L86" s="21"/>
      <c r="M86" s="21"/>
      <c r="N86" s="21"/>
      <c r="O86" s="21"/>
      <c r="P86" s="21"/>
      <c r="Q86" s="21"/>
      <c r="R86" s="21"/>
      <c r="S86" s="21"/>
      <c r="T86" s="21"/>
      <c r="U86" s="21"/>
      <c r="V86" s="21"/>
      <c r="W86" s="21"/>
      <c r="X86" s="22" t="str">
        <f aca="false">IF(OR(N86="",N86=0),"",M86/N86)</f>
        <v/>
      </c>
      <c r="Y86" s="22" t="str">
        <f aca="false">IF(OR(M86="",M86=0),"",O86/M86)</f>
        <v/>
      </c>
      <c r="Z86" s="22" t="str">
        <f aca="false">IF(OR(Q86="",Q86=0),"",P86/Q86)</f>
        <v/>
      </c>
      <c r="AA86" s="22" t="str">
        <f aca="false">IF(OR(S86="",S86=0),"",R86/S86)</f>
        <v/>
      </c>
      <c r="AB86" s="23" t="str">
        <f aca="false">IF(OR(T86="",U86=""),"",T86-U86)</f>
        <v/>
      </c>
      <c r="AC86" s="22" t="str">
        <f aca="false">IF(OR(W86="",W86=0),"",V86/W86)</f>
        <v/>
      </c>
      <c r="AD86" s="24" t="str">
        <f aca="false">IF(B86="","",MONTH(B86))</f>
        <v/>
      </c>
    </row>
    <row r="87" customFormat="false" ht="15" hidden="false" customHeight="false" outlineLevel="0" collapsed="false">
      <c r="B87" s="19"/>
      <c r="C87" s="20"/>
      <c r="D87" s="21"/>
      <c r="E87" s="20"/>
      <c r="F87" s="21"/>
      <c r="G87" s="21"/>
      <c r="H87" s="20"/>
      <c r="I87" s="21"/>
      <c r="J87" s="21"/>
      <c r="K87" s="21"/>
      <c r="L87" s="21"/>
      <c r="M87" s="21"/>
      <c r="N87" s="21"/>
      <c r="O87" s="21"/>
      <c r="P87" s="21"/>
      <c r="Q87" s="21"/>
      <c r="R87" s="21"/>
      <c r="S87" s="21"/>
      <c r="T87" s="21"/>
      <c r="U87" s="21"/>
      <c r="V87" s="21"/>
      <c r="W87" s="21"/>
      <c r="X87" s="22" t="str">
        <f aca="false">IF(OR(N87="",N87=0),"",M87/N87)</f>
        <v/>
      </c>
      <c r="Y87" s="22" t="str">
        <f aca="false">IF(OR(M87="",M87=0),"",O87/M87)</f>
        <v/>
      </c>
      <c r="Z87" s="22" t="str">
        <f aca="false">IF(OR(Q87="",Q87=0),"",P87/Q87)</f>
        <v/>
      </c>
      <c r="AA87" s="22" t="str">
        <f aca="false">IF(OR(S87="",S87=0),"",R87/S87)</f>
        <v/>
      </c>
      <c r="AB87" s="23" t="str">
        <f aca="false">IF(OR(T87="",U87=""),"",T87-U87)</f>
        <v/>
      </c>
      <c r="AC87" s="22" t="str">
        <f aca="false">IF(OR(W87="",W87=0),"",V87/W87)</f>
        <v/>
      </c>
      <c r="AD87" s="24" t="str">
        <f aca="false">IF(B87="","",MONTH(B87))</f>
        <v/>
      </c>
    </row>
    <row r="88" customFormat="false" ht="15" hidden="false" customHeight="false" outlineLevel="0" collapsed="false">
      <c r="B88" s="19"/>
      <c r="C88" s="20"/>
      <c r="D88" s="21"/>
      <c r="E88" s="20"/>
      <c r="F88" s="21"/>
      <c r="G88" s="21"/>
      <c r="H88" s="20"/>
      <c r="I88" s="21"/>
      <c r="J88" s="21"/>
      <c r="K88" s="21"/>
      <c r="L88" s="21"/>
      <c r="M88" s="21"/>
      <c r="N88" s="21"/>
      <c r="O88" s="21"/>
      <c r="P88" s="21"/>
      <c r="Q88" s="21"/>
      <c r="R88" s="21"/>
      <c r="S88" s="21"/>
      <c r="T88" s="21"/>
      <c r="U88" s="21"/>
      <c r="V88" s="21"/>
      <c r="W88" s="21"/>
      <c r="X88" s="22" t="str">
        <f aca="false">IF(OR(N88="",N88=0),"",M88/N88)</f>
        <v/>
      </c>
      <c r="Y88" s="22" t="str">
        <f aca="false">IF(OR(M88="",M88=0),"",O88/M88)</f>
        <v/>
      </c>
      <c r="Z88" s="22" t="str">
        <f aca="false">IF(OR(Q88="",Q88=0),"",P88/Q88)</f>
        <v/>
      </c>
      <c r="AA88" s="22" t="str">
        <f aca="false">IF(OR(S88="",S88=0),"",R88/S88)</f>
        <v/>
      </c>
      <c r="AB88" s="23" t="str">
        <f aca="false">IF(OR(T88="",U88=""),"",T88-U88)</f>
        <v/>
      </c>
      <c r="AC88" s="22" t="str">
        <f aca="false">IF(OR(W88="",W88=0),"",V88/W88)</f>
        <v/>
      </c>
      <c r="AD88" s="24" t="str">
        <f aca="false">IF(B88="","",MONTH(B88))</f>
        <v/>
      </c>
    </row>
    <row r="89" customFormat="false" ht="15" hidden="false" customHeight="false" outlineLevel="0" collapsed="false">
      <c r="B89" s="19"/>
      <c r="C89" s="20"/>
      <c r="D89" s="21"/>
      <c r="E89" s="20"/>
      <c r="F89" s="21"/>
      <c r="G89" s="21"/>
      <c r="H89" s="20"/>
      <c r="I89" s="21"/>
      <c r="J89" s="21"/>
      <c r="K89" s="21"/>
      <c r="L89" s="21"/>
      <c r="M89" s="21"/>
      <c r="N89" s="21"/>
      <c r="O89" s="21"/>
      <c r="P89" s="21"/>
      <c r="Q89" s="21"/>
      <c r="R89" s="21"/>
      <c r="S89" s="21"/>
      <c r="T89" s="21"/>
      <c r="U89" s="21"/>
      <c r="V89" s="21"/>
      <c r="W89" s="21"/>
      <c r="X89" s="22" t="str">
        <f aca="false">IF(OR(N89="",N89=0),"",M89/N89)</f>
        <v/>
      </c>
      <c r="Y89" s="22" t="str">
        <f aca="false">IF(OR(M89="",M89=0),"",O89/M89)</f>
        <v/>
      </c>
      <c r="Z89" s="22" t="str">
        <f aca="false">IF(OR(Q89="",Q89=0),"",P89/Q89)</f>
        <v/>
      </c>
      <c r="AA89" s="22" t="str">
        <f aca="false">IF(OR(S89="",S89=0),"",R89/S89)</f>
        <v/>
      </c>
      <c r="AB89" s="23" t="str">
        <f aca="false">IF(OR(T89="",U89=""),"",T89-U89)</f>
        <v/>
      </c>
      <c r="AC89" s="22" t="str">
        <f aca="false">IF(OR(W89="",W89=0),"",V89/W89)</f>
        <v/>
      </c>
      <c r="AD89" s="24" t="str">
        <f aca="false">IF(B89="","",MONTH(B89))</f>
        <v/>
      </c>
    </row>
    <row r="90" customFormat="false" ht="15" hidden="false" customHeight="false" outlineLevel="0" collapsed="false">
      <c r="B90" s="19"/>
      <c r="C90" s="20"/>
      <c r="D90" s="21"/>
      <c r="E90" s="20"/>
      <c r="F90" s="21"/>
      <c r="G90" s="21"/>
      <c r="H90" s="20"/>
      <c r="I90" s="21"/>
      <c r="J90" s="21"/>
      <c r="K90" s="21"/>
      <c r="L90" s="21"/>
      <c r="M90" s="21"/>
      <c r="N90" s="21"/>
      <c r="O90" s="21"/>
      <c r="P90" s="21"/>
      <c r="Q90" s="21"/>
      <c r="R90" s="21"/>
      <c r="S90" s="21"/>
      <c r="T90" s="21"/>
      <c r="U90" s="21"/>
      <c r="V90" s="21"/>
      <c r="W90" s="21"/>
      <c r="X90" s="22" t="str">
        <f aca="false">IF(OR(N90="",N90=0),"",M90/N90)</f>
        <v/>
      </c>
      <c r="Y90" s="22" t="str">
        <f aca="false">IF(OR(M90="",M90=0),"",O90/M90)</f>
        <v/>
      </c>
      <c r="Z90" s="22" t="str">
        <f aca="false">IF(OR(Q90="",Q90=0),"",P90/Q90)</f>
        <v/>
      </c>
      <c r="AA90" s="22" t="str">
        <f aca="false">IF(OR(S90="",S90=0),"",R90/S90)</f>
        <v/>
      </c>
      <c r="AB90" s="23" t="str">
        <f aca="false">IF(OR(T90="",U90=""),"",T90-U90)</f>
        <v/>
      </c>
      <c r="AC90" s="22" t="str">
        <f aca="false">IF(OR(W90="",W90=0),"",V90/W90)</f>
        <v/>
      </c>
      <c r="AD90" s="24" t="str">
        <f aca="false">IF(B90="","",MONTH(B90))</f>
        <v/>
      </c>
    </row>
    <row r="91" customFormat="false" ht="15" hidden="false" customHeight="false" outlineLevel="0" collapsed="false">
      <c r="B91" s="19"/>
      <c r="C91" s="20"/>
      <c r="D91" s="21"/>
      <c r="E91" s="20"/>
      <c r="F91" s="21"/>
      <c r="G91" s="21"/>
      <c r="H91" s="20"/>
      <c r="I91" s="21"/>
      <c r="J91" s="21"/>
      <c r="K91" s="21"/>
      <c r="L91" s="21"/>
      <c r="M91" s="21"/>
      <c r="N91" s="21"/>
      <c r="O91" s="21"/>
      <c r="P91" s="21"/>
      <c r="Q91" s="21"/>
      <c r="R91" s="21"/>
      <c r="S91" s="21"/>
      <c r="T91" s="21"/>
      <c r="U91" s="21"/>
      <c r="V91" s="21"/>
      <c r="W91" s="21"/>
      <c r="X91" s="22" t="str">
        <f aca="false">IF(OR(N91="",N91=0),"",M91/N91)</f>
        <v/>
      </c>
      <c r="Y91" s="22" t="str">
        <f aca="false">IF(OR(M91="",M91=0),"",O91/M91)</f>
        <v/>
      </c>
      <c r="Z91" s="22" t="str">
        <f aca="false">IF(OR(Q91="",Q91=0),"",P91/Q91)</f>
        <v/>
      </c>
      <c r="AA91" s="22" t="str">
        <f aca="false">IF(OR(S91="",S91=0),"",R91/S91)</f>
        <v/>
      </c>
      <c r="AB91" s="23" t="str">
        <f aca="false">IF(OR(T91="",U91=""),"",T91-U91)</f>
        <v/>
      </c>
      <c r="AC91" s="22" t="str">
        <f aca="false">IF(OR(W91="",W91=0),"",V91/W91)</f>
        <v/>
      </c>
      <c r="AD91" s="24" t="str">
        <f aca="false">IF(B91="","",MONTH(B91))</f>
        <v/>
      </c>
    </row>
    <row r="92" customFormat="false" ht="15" hidden="false" customHeight="false" outlineLevel="0" collapsed="false">
      <c r="B92" s="19"/>
      <c r="C92" s="20"/>
      <c r="D92" s="21"/>
      <c r="E92" s="20"/>
      <c r="F92" s="21"/>
      <c r="G92" s="21"/>
      <c r="H92" s="20"/>
      <c r="I92" s="21"/>
      <c r="J92" s="21"/>
      <c r="K92" s="21"/>
      <c r="L92" s="21"/>
      <c r="M92" s="21"/>
      <c r="N92" s="21"/>
      <c r="O92" s="21"/>
      <c r="P92" s="21"/>
      <c r="Q92" s="21"/>
      <c r="R92" s="21"/>
      <c r="S92" s="21"/>
      <c r="T92" s="21"/>
      <c r="U92" s="21"/>
      <c r="V92" s="21"/>
      <c r="W92" s="21"/>
      <c r="X92" s="22" t="str">
        <f aca="false">IF(OR(N92="",N92=0),"",M92/N92)</f>
        <v/>
      </c>
      <c r="Y92" s="22" t="str">
        <f aca="false">IF(OR(M92="",M92=0),"",O92/M92)</f>
        <v/>
      </c>
      <c r="Z92" s="22" t="str">
        <f aca="false">IF(OR(Q92="",Q92=0),"",P92/Q92)</f>
        <v/>
      </c>
      <c r="AA92" s="22" t="str">
        <f aca="false">IF(OR(S92="",S92=0),"",R92/S92)</f>
        <v/>
      </c>
      <c r="AB92" s="23" t="str">
        <f aca="false">IF(OR(T92="",U92=""),"",T92-U92)</f>
        <v/>
      </c>
      <c r="AC92" s="22" t="str">
        <f aca="false">IF(OR(W92="",W92=0),"",V92/W92)</f>
        <v/>
      </c>
      <c r="AD92" s="24" t="str">
        <f aca="false">IF(B92="","",MONTH(B92))</f>
        <v/>
      </c>
    </row>
    <row r="93" customFormat="false" ht="15" hidden="false" customHeight="false" outlineLevel="0" collapsed="false">
      <c r="B93" s="19"/>
      <c r="C93" s="20"/>
      <c r="D93" s="21"/>
      <c r="E93" s="20"/>
      <c r="F93" s="21"/>
      <c r="G93" s="21"/>
      <c r="H93" s="20"/>
      <c r="I93" s="21"/>
      <c r="J93" s="21"/>
      <c r="K93" s="21"/>
      <c r="L93" s="21"/>
      <c r="M93" s="21"/>
      <c r="N93" s="21"/>
      <c r="O93" s="21"/>
      <c r="P93" s="21"/>
      <c r="Q93" s="21"/>
      <c r="R93" s="21"/>
      <c r="S93" s="21"/>
      <c r="T93" s="21"/>
      <c r="U93" s="21"/>
      <c r="V93" s="21"/>
      <c r="W93" s="21"/>
      <c r="X93" s="22" t="str">
        <f aca="false">IF(OR(N93="",N93=0),"",M93/N93)</f>
        <v/>
      </c>
      <c r="Y93" s="22" t="str">
        <f aca="false">IF(OR(M93="",M93=0),"",O93/M93)</f>
        <v/>
      </c>
      <c r="Z93" s="22" t="str">
        <f aca="false">IF(OR(Q93="",Q93=0),"",P93/Q93)</f>
        <v/>
      </c>
      <c r="AA93" s="22" t="str">
        <f aca="false">IF(OR(S93="",S93=0),"",R93/S93)</f>
        <v/>
      </c>
      <c r="AB93" s="23" t="str">
        <f aca="false">IF(OR(T93="",U93=""),"",T93-U93)</f>
        <v/>
      </c>
      <c r="AC93" s="22" t="str">
        <f aca="false">IF(OR(W93="",W93=0),"",V93/W93)</f>
        <v/>
      </c>
      <c r="AD93" s="24" t="str">
        <f aca="false">IF(B93="","",MONTH(B93))</f>
        <v/>
      </c>
    </row>
    <row r="94" customFormat="false" ht="15" hidden="false" customHeight="false" outlineLevel="0" collapsed="false">
      <c r="B94" s="19"/>
      <c r="C94" s="20"/>
      <c r="D94" s="21"/>
      <c r="E94" s="20"/>
      <c r="F94" s="21"/>
      <c r="G94" s="21"/>
      <c r="H94" s="20"/>
      <c r="I94" s="21"/>
      <c r="J94" s="21"/>
      <c r="K94" s="21"/>
      <c r="L94" s="21"/>
      <c r="M94" s="21"/>
      <c r="N94" s="21"/>
      <c r="O94" s="21"/>
      <c r="P94" s="21"/>
      <c r="Q94" s="21"/>
      <c r="R94" s="21"/>
      <c r="S94" s="21"/>
      <c r="T94" s="21"/>
      <c r="U94" s="21"/>
      <c r="V94" s="21"/>
      <c r="W94" s="21"/>
      <c r="X94" s="22" t="str">
        <f aca="false">IF(OR(N94="",N94=0),"",M94/N94)</f>
        <v/>
      </c>
      <c r="Y94" s="22" t="str">
        <f aca="false">IF(OR(M94="",M94=0),"",O94/M94)</f>
        <v/>
      </c>
      <c r="Z94" s="22" t="str">
        <f aca="false">IF(OR(Q94="",Q94=0),"",P94/Q94)</f>
        <v/>
      </c>
      <c r="AA94" s="22" t="str">
        <f aca="false">IF(OR(S94="",S94=0),"",R94/S94)</f>
        <v/>
      </c>
      <c r="AB94" s="23" t="str">
        <f aca="false">IF(OR(T94="",U94=""),"",T94-U94)</f>
        <v/>
      </c>
      <c r="AC94" s="22" t="str">
        <f aca="false">IF(OR(W94="",W94=0),"",V94/W94)</f>
        <v/>
      </c>
      <c r="AD94" s="24" t="str">
        <f aca="false">IF(B94="","",MONTH(B94))</f>
        <v/>
      </c>
    </row>
    <row r="95" customFormat="false" ht="15" hidden="false" customHeight="false" outlineLevel="0" collapsed="false">
      <c r="B95" s="19"/>
      <c r="C95" s="20"/>
      <c r="D95" s="21"/>
      <c r="E95" s="20"/>
      <c r="F95" s="21"/>
      <c r="G95" s="21"/>
      <c r="H95" s="20"/>
      <c r="I95" s="21"/>
      <c r="J95" s="21"/>
      <c r="K95" s="21"/>
      <c r="L95" s="21"/>
      <c r="M95" s="21"/>
      <c r="N95" s="21"/>
      <c r="O95" s="21"/>
      <c r="P95" s="21"/>
      <c r="Q95" s="21"/>
      <c r="R95" s="21"/>
      <c r="S95" s="21"/>
      <c r="T95" s="21"/>
      <c r="U95" s="21"/>
      <c r="V95" s="21"/>
      <c r="W95" s="21"/>
      <c r="X95" s="22" t="str">
        <f aca="false">IF(OR(N95="",N95=0),"",M95/N95)</f>
        <v/>
      </c>
      <c r="Y95" s="22" t="str">
        <f aca="false">IF(OR(M95="",M95=0),"",O95/M95)</f>
        <v/>
      </c>
      <c r="Z95" s="22" t="str">
        <f aca="false">IF(OR(Q95="",Q95=0),"",P95/Q95)</f>
        <v/>
      </c>
      <c r="AA95" s="22" t="str">
        <f aca="false">IF(OR(S95="",S95=0),"",R95/S95)</f>
        <v/>
      </c>
      <c r="AB95" s="23" t="str">
        <f aca="false">IF(OR(T95="",U95=""),"",T95-U95)</f>
        <v/>
      </c>
      <c r="AC95" s="22" t="str">
        <f aca="false">IF(OR(W95="",W95=0),"",V95/W95)</f>
        <v/>
      </c>
      <c r="AD95" s="24" t="str">
        <f aca="false">IF(B95="","",MONTH(B95))</f>
        <v/>
      </c>
    </row>
    <row r="96" customFormat="false" ht="15" hidden="false" customHeight="false" outlineLevel="0" collapsed="false">
      <c r="B96" s="19"/>
      <c r="C96" s="20"/>
      <c r="D96" s="21"/>
      <c r="E96" s="20"/>
      <c r="F96" s="21"/>
      <c r="G96" s="21"/>
      <c r="H96" s="20"/>
      <c r="I96" s="21"/>
      <c r="J96" s="21"/>
      <c r="K96" s="21"/>
      <c r="L96" s="21"/>
      <c r="M96" s="21"/>
      <c r="N96" s="21"/>
      <c r="O96" s="21"/>
      <c r="P96" s="21"/>
      <c r="Q96" s="21"/>
      <c r="R96" s="21"/>
      <c r="S96" s="21"/>
      <c r="T96" s="21"/>
      <c r="U96" s="21"/>
      <c r="V96" s="21"/>
      <c r="W96" s="21"/>
      <c r="X96" s="22" t="str">
        <f aca="false">IF(OR(N96="",N96=0),"",M96/N96)</f>
        <v/>
      </c>
      <c r="Y96" s="22" t="str">
        <f aca="false">IF(OR(M96="",M96=0),"",O96/M96)</f>
        <v/>
      </c>
      <c r="Z96" s="22" t="str">
        <f aca="false">IF(OR(Q96="",Q96=0),"",P96/Q96)</f>
        <v/>
      </c>
      <c r="AA96" s="22" t="str">
        <f aca="false">IF(OR(S96="",S96=0),"",R96/S96)</f>
        <v/>
      </c>
      <c r="AB96" s="23" t="str">
        <f aca="false">IF(OR(T96="",U96=""),"",T96-U96)</f>
        <v/>
      </c>
      <c r="AC96" s="22" t="str">
        <f aca="false">IF(OR(W96="",W96=0),"",V96/W96)</f>
        <v/>
      </c>
      <c r="AD96" s="24" t="str">
        <f aca="false">IF(B96="","",MONTH(B96))</f>
        <v/>
      </c>
    </row>
    <row r="97" customFormat="false" ht="15" hidden="false" customHeight="false" outlineLevel="0" collapsed="false">
      <c r="B97" s="19"/>
      <c r="C97" s="20"/>
      <c r="D97" s="21"/>
      <c r="E97" s="20"/>
      <c r="F97" s="21"/>
      <c r="G97" s="21"/>
      <c r="H97" s="20"/>
      <c r="I97" s="21"/>
      <c r="J97" s="21"/>
      <c r="K97" s="21"/>
      <c r="L97" s="21"/>
      <c r="M97" s="21"/>
      <c r="N97" s="21"/>
      <c r="O97" s="21"/>
      <c r="P97" s="21"/>
      <c r="Q97" s="21"/>
      <c r="R97" s="21"/>
      <c r="S97" s="21"/>
      <c r="T97" s="21"/>
      <c r="U97" s="21"/>
      <c r="V97" s="21"/>
      <c r="W97" s="21"/>
      <c r="X97" s="22" t="str">
        <f aca="false">IF(OR(N97="",N97=0),"",M97/N97)</f>
        <v/>
      </c>
      <c r="Y97" s="22" t="str">
        <f aca="false">IF(OR(M97="",M97=0),"",O97/M97)</f>
        <v/>
      </c>
      <c r="Z97" s="22" t="str">
        <f aca="false">IF(OR(Q97="",Q97=0),"",P97/Q97)</f>
        <v/>
      </c>
      <c r="AA97" s="22" t="str">
        <f aca="false">IF(OR(S97="",S97=0),"",R97/S97)</f>
        <v/>
      </c>
      <c r="AB97" s="23" t="str">
        <f aca="false">IF(OR(T97="",U97=""),"",T97-U97)</f>
        <v/>
      </c>
      <c r="AC97" s="22" t="str">
        <f aca="false">IF(OR(W97="",W97=0),"",V97/W97)</f>
        <v/>
      </c>
      <c r="AD97" s="24" t="str">
        <f aca="false">IF(B97="","",MONTH(B97))</f>
        <v/>
      </c>
    </row>
    <row r="98" customFormat="false" ht="15" hidden="false" customHeight="false" outlineLevel="0" collapsed="false">
      <c r="B98" s="19"/>
      <c r="C98" s="20"/>
      <c r="D98" s="21"/>
      <c r="E98" s="20"/>
      <c r="F98" s="21"/>
      <c r="G98" s="21"/>
      <c r="H98" s="20"/>
      <c r="I98" s="21"/>
      <c r="J98" s="21"/>
      <c r="K98" s="21"/>
      <c r="L98" s="21"/>
      <c r="M98" s="21"/>
      <c r="N98" s="21"/>
      <c r="O98" s="21"/>
      <c r="P98" s="21"/>
      <c r="Q98" s="21"/>
      <c r="R98" s="21"/>
      <c r="S98" s="21"/>
      <c r="T98" s="21"/>
      <c r="U98" s="21"/>
      <c r="V98" s="21"/>
      <c r="W98" s="21"/>
      <c r="X98" s="22" t="str">
        <f aca="false">IF(OR(N98="",N98=0),"",M98/N98)</f>
        <v/>
      </c>
      <c r="Y98" s="22" t="str">
        <f aca="false">IF(OR(M98="",M98=0),"",O98/M98)</f>
        <v/>
      </c>
      <c r="Z98" s="22" t="str">
        <f aca="false">IF(OR(Q98="",Q98=0),"",P98/Q98)</f>
        <v/>
      </c>
      <c r="AA98" s="22" t="str">
        <f aca="false">IF(OR(S98="",S98=0),"",R98/S98)</f>
        <v/>
      </c>
      <c r="AB98" s="23" t="str">
        <f aca="false">IF(OR(T98="",U98=""),"",T98-U98)</f>
        <v/>
      </c>
      <c r="AC98" s="22" t="str">
        <f aca="false">IF(OR(W98="",W98=0),"",V98/W98)</f>
        <v/>
      </c>
      <c r="AD98" s="24" t="str">
        <f aca="false">IF(B98="","",MONTH(B98))</f>
        <v/>
      </c>
    </row>
    <row r="99" customFormat="false" ht="15" hidden="false" customHeight="false" outlineLevel="0" collapsed="false">
      <c r="B99" s="19"/>
      <c r="C99" s="20"/>
      <c r="D99" s="21"/>
      <c r="E99" s="20"/>
      <c r="F99" s="21"/>
      <c r="G99" s="21"/>
      <c r="H99" s="20"/>
      <c r="I99" s="21"/>
      <c r="J99" s="21"/>
      <c r="K99" s="21"/>
      <c r="L99" s="21"/>
      <c r="M99" s="21"/>
      <c r="N99" s="21"/>
      <c r="O99" s="21"/>
      <c r="P99" s="21"/>
      <c r="Q99" s="21"/>
      <c r="R99" s="21"/>
      <c r="S99" s="21"/>
      <c r="T99" s="21"/>
      <c r="U99" s="21"/>
      <c r="V99" s="21"/>
      <c r="W99" s="21"/>
      <c r="X99" s="22" t="str">
        <f aca="false">IF(OR(N99="",N99=0),"",M99/N99)</f>
        <v/>
      </c>
      <c r="Y99" s="22" t="str">
        <f aca="false">IF(OR(M99="",M99=0),"",O99/M99)</f>
        <v/>
      </c>
      <c r="Z99" s="22" t="str">
        <f aca="false">IF(OR(Q99="",Q99=0),"",P99/Q99)</f>
        <v/>
      </c>
      <c r="AA99" s="22" t="str">
        <f aca="false">IF(OR(S99="",S99=0),"",R99/S99)</f>
        <v/>
      </c>
      <c r="AB99" s="23" t="str">
        <f aca="false">IF(OR(T99="",U99=""),"",T99-U99)</f>
        <v/>
      </c>
      <c r="AC99" s="22" t="str">
        <f aca="false">IF(OR(W99="",W99=0),"",V99/W99)</f>
        <v/>
      </c>
      <c r="AD99" s="24" t="str">
        <f aca="false">IF(B99="","",MONTH(B99))</f>
        <v/>
      </c>
    </row>
    <row r="100" customFormat="false" ht="15" hidden="false" customHeight="false" outlineLevel="0" collapsed="false">
      <c r="B100" s="19"/>
      <c r="C100" s="20"/>
      <c r="D100" s="21"/>
      <c r="E100" s="20"/>
      <c r="F100" s="21"/>
      <c r="G100" s="21"/>
      <c r="H100" s="20"/>
      <c r="I100" s="21"/>
      <c r="J100" s="21"/>
      <c r="K100" s="21"/>
      <c r="L100" s="21"/>
      <c r="M100" s="21"/>
      <c r="N100" s="21"/>
      <c r="O100" s="21"/>
      <c r="P100" s="21"/>
      <c r="Q100" s="21"/>
      <c r="R100" s="21"/>
      <c r="S100" s="21"/>
      <c r="T100" s="21"/>
      <c r="U100" s="21"/>
      <c r="V100" s="21"/>
      <c r="W100" s="21"/>
      <c r="X100" s="22" t="str">
        <f aca="false">IF(OR(N100="",N100=0),"",M100/N100)</f>
        <v/>
      </c>
      <c r="Y100" s="22" t="str">
        <f aca="false">IF(OR(M100="",M100=0),"",O100/M100)</f>
        <v/>
      </c>
      <c r="Z100" s="22" t="str">
        <f aca="false">IF(OR(Q100="",Q100=0),"",P100/Q100)</f>
        <v/>
      </c>
      <c r="AA100" s="22" t="str">
        <f aca="false">IF(OR(S100="",S100=0),"",R100/S100)</f>
        <v/>
      </c>
      <c r="AB100" s="23" t="str">
        <f aca="false">IF(OR(T100="",U100=""),"",T100-U100)</f>
        <v/>
      </c>
      <c r="AC100" s="22" t="str">
        <f aca="false">IF(OR(W100="",W100=0),"",V100/W100)</f>
        <v/>
      </c>
      <c r="AD100" s="24" t="str">
        <f aca="false">IF(B100="","",MONTH(B100))</f>
        <v/>
      </c>
    </row>
    <row r="101" customFormat="false" ht="15" hidden="false" customHeight="false" outlineLevel="0" collapsed="false">
      <c r="B101" s="19"/>
      <c r="C101" s="20"/>
      <c r="D101" s="21"/>
      <c r="E101" s="20"/>
      <c r="F101" s="21"/>
      <c r="G101" s="21"/>
      <c r="H101" s="20"/>
      <c r="I101" s="21"/>
      <c r="J101" s="21"/>
      <c r="K101" s="21"/>
      <c r="L101" s="21"/>
      <c r="M101" s="21"/>
      <c r="N101" s="21"/>
      <c r="O101" s="21"/>
      <c r="P101" s="21"/>
      <c r="Q101" s="21"/>
      <c r="R101" s="21"/>
      <c r="S101" s="21"/>
      <c r="T101" s="21"/>
      <c r="U101" s="21"/>
      <c r="V101" s="21"/>
      <c r="W101" s="21"/>
      <c r="X101" s="22" t="str">
        <f aca="false">IF(OR(N101="",N101=0),"",M101/N101)</f>
        <v/>
      </c>
      <c r="Y101" s="22" t="str">
        <f aca="false">IF(OR(M101="",M101=0),"",O101/M101)</f>
        <v/>
      </c>
      <c r="Z101" s="22" t="str">
        <f aca="false">IF(OR(Q101="",Q101=0),"",P101/Q101)</f>
        <v/>
      </c>
      <c r="AA101" s="22" t="str">
        <f aca="false">IF(OR(S101="",S101=0),"",R101/S101)</f>
        <v/>
      </c>
      <c r="AB101" s="23" t="str">
        <f aca="false">IF(OR(T101="",U101=""),"",T101-U101)</f>
        <v/>
      </c>
      <c r="AC101" s="22" t="str">
        <f aca="false">IF(OR(W101="",W101=0),"",V101/W101)</f>
        <v/>
      </c>
      <c r="AD101" s="24" t="str">
        <f aca="false">IF(B101="","",MONTH(B101))</f>
        <v/>
      </c>
    </row>
    <row r="102" customFormat="false" ht="15" hidden="false" customHeight="false" outlineLevel="0" collapsed="false">
      <c r="B102" s="19"/>
      <c r="C102" s="20"/>
      <c r="D102" s="21"/>
      <c r="E102" s="20"/>
      <c r="F102" s="21"/>
      <c r="G102" s="21"/>
      <c r="H102" s="20"/>
      <c r="I102" s="21"/>
      <c r="J102" s="21"/>
      <c r="K102" s="21"/>
      <c r="L102" s="21"/>
      <c r="M102" s="21"/>
      <c r="N102" s="21"/>
      <c r="O102" s="21"/>
      <c r="P102" s="21"/>
      <c r="Q102" s="21"/>
      <c r="R102" s="21"/>
      <c r="S102" s="21"/>
      <c r="T102" s="21"/>
      <c r="U102" s="21"/>
      <c r="V102" s="21"/>
      <c r="W102" s="21"/>
      <c r="X102" s="22" t="str">
        <f aca="false">IF(OR(N102="",N102=0),"",M102/N102)</f>
        <v/>
      </c>
      <c r="Y102" s="22" t="str">
        <f aca="false">IF(OR(M102="",M102=0),"",O102/M102)</f>
        <v/>
      </c>
      <c r="Z102" s="22" t="str">
        <f aca="false">IF(OR(Q102="",Q102=0),"",P102/Q102)</f>
        <v/>
      </c>
      <c r="AA102" s="22" t="str">
        <f aca="false">IF(OR(S102="",S102=0),"",R102/S102)</f>
        <v/>
      </c>
      <c r="AB102" s="23" t="str">
        <f aca="false">IF(OR(T102="",U102=""),"",T102-U102)</f>
        <v/>
      </c>
      <c r="AC102" s="22" t="str">
        <f aca="false">IF(OR(W102="",W102=0),"",V102/W102)</f>
        <v/>
      </c>
      <c r="AD102" s="24" t="str">
        <f aca="false">IF(B102="","",MONTH(B102))</f>
        <v/>
      </c>
    </row>
    <row r="103" customFormat="false" ht="15" hidden="false" customHeight="false" outlineLevel="0" collapsed="false">
      <c r="B103" s="19"/>
      <c r="C103" s="20"/>
      <c r="D103" s="21"/>
      <c r="E103" s="20"/>
      <c r="F103" s="21"/>
      <c r="G103" s="21"/>
      <c r="H103" s="20"/>
      <c r="I103" s="21"/>
      <c r="J103" s="21"/>
      <c r="K103" s="21"/>
      <c r="L103" s="21"/>
      <c r="M103" s="21"/>
      <c r="N103" s="21"/>
      <c r="O103" s="21"/>
      <c r="P103" s="21"/>
      <c r="Q103" s="21"/>
      <c r="R103" s="21"/>
      <c r="S103" s="21"/>
      <c r="T103" s="21"/>
      <c r="U103" s="21"/>
      <c r="V103" s="21"/>
      <c r="W103" s="21"/>
      <c r="X103" s="22" t="str">
        <f aca="false">IF(OR(N103="",N103=0),"",M103/N103)</f>
        <v/>
      </c>
      <c r="Y103" s="22" t="str">
        <f aca="false">IF(OR(M103="",M103=0),"",O103/M103)</f>
        <v/>
      </c>
      <c r="Z103" s="22" t="str">
        <f aca="false">IF(OR(Q103="",Q103=0),"",P103/Q103)</f>
        <v/>
      </c>
      <c r="AA103" s="22" t="str">
        <f aca="false">IF(OR(S103="",S103=0),"",R103/S103)</f>
        <v/>
      </c>
      <c r="AB103" s="23" t="str">
        <f aca="false">IF(OR(T103="",U103=""),"",T103-U103)</f>
        <v/>
      </c>
      <c r="AC103" s="22" t="str">
        <f aca="false">IF(OR(W103="",W103=0),"",V103/W103)</f>
        <v/>
      </c>
      <c r="AD103" s="24" t="str">
        <f aca="false">IF(B103="","",MONTH(B103))</f>
        <v/>
      </c>
    </row>
    <row r="104" customFormat="false" ht="15" hidden="false" customHeight="false" outlineLevel="0" collapsed="false">
      <c r="B104" s="19"/>
      <c r="C104" s="20"/>
      <c r="D104" s="21"/>
      <c r="E104" s="20"/>
      <c r="F104" s="21"/>
      <c r="G104" s="21"/>
      <c r="H104" s="20"/>
      <c r="I104" s="21"/>
      <c r="J104" s="21"/>
      <c r="K104" s="21"/>
      <c r="L104" s="21"/>
      <c r="M104" s="21"/>
      <c r="N104" s="21"/>
      <c r="O104" s="21"/>
      <c r="P104" s="21"/>
      <c r="Q104" s="21"/>
      <c r="R104" s="21"/>
      <c r="S104" s="21"/>
      <c r="T104" s="21"/>
      <c r="U104" s="21"/>
      <c r="V104" s="21"/>
      <c r="W104" s="21"/>
      <c r="X104" s="22" t="str">
        <f aca="false">IF(OR(N104="",N104=0),"",M104/N104)</f>
        <v/>
      </c>
      <c r="Y104" s="22" t="str">
        <f aca="false">IF(OR(M104="",M104=0),"",O104/M104)</f>
        <v/>
      </c>
      <c r="Z104" s="22" t="str">
        <f aca="false">IF(OR(Q104="",Q104=0),"",P104/Q104)</f>
        <v/>
      </c>
      <c r="AA104" s="22" t="str">
        <f aca="false">IF(OR(S104="",S104=0),"",R104/S104)</f>
        <v/>
      </c>
      <c r="AB104" s="23" t="str">
        <f aca="false">IF(OR(T104="",U104=""),"",T104-U104)</f>
        <v/>
      </c>
      <c r="AC104" s="22" t="str">
        <f aca="false">IF(OR(W104="",W104=0),"",V104/W104)</f>
        <v/>
      </c>
      <c r="AD104" s="24" t="str">
        <f aca="false">IF(B104="","",MONTH(B104))</f>
        <v/>
      </c>
    </row>
    <row r="105" customFormat="false" ht="15" hidden="false" customHeight="false" outlineLevel="0" collapsed="false">
      <c r="B105" s="19"/>
      <c r="C105" s="20"/>
      <c r="D105" s="21"/>
      <c r="E105" s="20"/>
      <c r="F105" s="21"/>
      <c r="G105" s="21"/>
      <c r="H105" s="20"/>
      <c r="I105" s="21"/>
      <c r="J105" s="21"/>
      <c r="K105" s="21"/>
      <c r="L105" s="21"/>
      <c r="M105" s="21"/>
      <c r="N105" s="21"/>
      <c r="O105" s="21"/>
      <c r="P105" s="21"/>
      <c r="Q105" s="21"/>
      <c r="R105" s="21"/>
      <c r="S105" s="21"/>
      <c r="T105" s="21"/>
      <c r="U105" s="21"/>
      <c r="V105" s="21"/>
      <c r="W105" s="21"/>
      <c r="X105" s="22" t="str">
        <f aca="false">IF(OR(N105="",N105=0),"",M105/N105)</f>
        <v/>
      </c>
      <c r="Y105" s="22" t="str">
        <f aca="false">IF(OR(M105="",M105=0),"",O105/M105)</f>
        <v/>
      </c>
      <c r="Z105" s="22" t="str">
        <f aca="false">IF(OR(Q105="",Q105=0),"",P105/Q105)</f>
        <v/>
      </c>
      <c r="AA105" s="22" t="str">
        <f aca="false">IF(OR(S105="",S105=0),"",R105/S105)</f>
        <v/>
      </c>
      <c r="AB105" s="23" t="str">
        <f aca="false">IF(OR(T105="",U105=""),"",T105-U105)</f>
        <v/>
      </c>
      <c r="AC105" s="22" t="str">
        <f aca="false">IF(OR(W105="",W105=0),"",V105/W105)</f>
        <v/>
      </c>
      <c r="AD105" s="24" t="str">
        <f aca="false">IF(B105="","",MONTH(B105))</f>
        <v/>
      </c>
    </row>
    <row r="106" customFormat="false" ht="15" hidden="false" customHeight="false" outlineLevel="0" collapsed="false">
      <c r="B106" s="19"/>
      <c r="C106" s="20"/>
      <c r="D106" s="21"/>
      <c r="E106" s="20"/>
      <c r="F106" s="21"/>
      <c r="G106" s="21"/>
      <c r="H106" s="20"/>
      <c r="I106" s="21"/>
      <c r="J106" s="21"/>
      <c r="K106" s="21"/>
      <c r="L106" s="21"/>
      <c r="M106" s="21"/>
      <c r="N106" s="21"/>
      <c r="O106" s="21"/>
      <c r="P106" s="21"/>
      <c r="Q106" s="21"/>
      <c r="R106" s="21"/>
      <c r="S106" s="21"/>
      <c r="T106" s="21"/>
      <c r="U106" s="21"/>
      <c r="V106" s="21"/>
      <c r="W106" s="21"/>
      <c r="X106" s="22" t="str">
        <f aca="false">IF(OR(N106="",N106=0),"",M106/N106)</f>
        <v/>
      </c>
      <c r="Y106" s="22" t="str">
        <f aca="false">IF(OR(M106="",M106=0),"",O106/M106)</f>
        <v/>
      </c>
      <c r="Z106" s="22" t="str">
        <f aca="false">IF(OR(Q106="",Q106=0),"",P106/Q106)</f>
        <v/>
      </c>
      <c r="AA106" s="22" t="str">
        <f aca="false">IF(OR(S106="",S106=0),"",R106/S106)</f>
        <v/>
      </c>
      <c r="AB106" s="23" t="str">
        <f aca="false">IF(OR(T106="",U106=""),"",T106-U106)</f>
        <v/>
      </c>
      <c r="AC106" s="22" t="str">
        <f aca="false">IF(OR(W106="",W106=0),"",V106/W106)</f>
        <v/>
      </c>
      <c r="AD106" s="24" t="str">
        <f aca="false">IF(B106="","",MONTH(B106))</f>
        <v/>
      </c>
    </row>
    <row r="107" customFormat="false" ht="15" hidden="false" customHeight="false" outlineLevel="0" collapsed="false">
      <c r="B107" s="19"/>
      <c r="C107" s="20"/>
      <c r="D107" s="21"/>
      <c r="E107" s="20"/>
      <c r="F107" s="21"/>
      <c r="G107" s="21"/>
      <c r="H107" s="20"/>
      <c r="I107" s="21"/>
      <c r="J107" s="21"/>
      <c r="K107" s="21"/>
      <c r="L107" s="21"/>
      <c r="M107" s="21"/>
      <c r="N107" s="21"/>
      <c r="O107" s="21"/>
      <c r="P107" s="21"/>
      <c r="Q107" s="21"/>
      <c r="R107" s="21"/>
      <c r="S107" s="21"/>
      <c r="T107" s="21"/>
      <c r="U107" s="21"/>
      <c r="V107" s="21"/>
      <c r="W107" s="21"/>
      <c r="X107" s="22" t="str">
        <f aca="false">IF(OR(N107="",N107=0),"",M107/N107)</f>
        <v/>
      </c>
      <c r="Y107" s="22" t="str">
        <f aca="false">IF(OR(M107="",M107=0),"",O107/M107)</f>
        <v/>
      </c>
      <c r="Z107" s="22" t="str">
        <f aca="false">IF(OR(Q107="",Q107=0),"",P107/Q107)</f>
        <v/>
      </c>
      <c r="AA107" s="22" t="str">
        <f aca="false">IF(OR(S107="",S107=0),"",R107/S107)</f>
        <v/>
      </c>
      <c r="AB107" s="23" t="str">
        <f aca="false">IF(OR(T107="",U107=""),"",T107-U107)</f>
        <v/>
      </c>
      <c r="AC107" s="22" t="str">
        <f aca="false">IF(OR(W107="",W107=0),"",V107/W107)</f>
        <v/>
      </c>
      <c r="AD107" s="24" t="str">
        <f aca="false">IF(B107="","",MONTH(B107))</f>
        <v/>
      </c>
    </row>
    <row r="108" customFormat="false" ht="15" hidden="false" customHeight="false" outlineLevel="0" collapsed="false">
      <c r="B108" s="19"/>
      <c r="C108" s="20"/>
      <c r="D108" s="21"/>
      <c r="E108" s="20"/>
      <c r="F108" s="21"/>
      <c r="G108" s="21"/>
      <c r="H108" s="20"/>
      <c r="I108" s="21"/>
      <c r="J108" s="21"/>
      <c r="K108" s="21"/>
      <c r="L108" s="21"/>
      <c r="M108" s="21"/>
      <c r="N108" s="21"/>
      <c r="O108" s="21"/>
      <c r="P108" s="21"/>
      <c r="Q108" s="21"/>
      <c r="R108" s="21"/>
      <c r="S108" s="21"/>
      <c r="T108" s="21"/>
      <c r="U108" s="21"/>
      <c r="V108" s="21"/>
      <c r="W108" s="21"/>
      <c r="X108" s="22" t="str">
        <f aca="false">IF(OR(N108="",N108=0),"",M108/N108)</f>
        <v/>
      </c>
      <c r="Y108" s="22" t="str">
        <f aca="false">IF(OR(M108="",M108=0),"",O108/M108)</f>
        <v/>
      </c>
      <c r="Z108" s="22" t="str">
        <f aca="false">IF(OR(Q108="",Q108=0),"",P108/Q108)</f>
        <v/>
      </c>
      <c r="AA108" s="22" t="str">
        <f aca="false">IF(OR(S108="",S108=0),"",R108/S108)</f>
        <v/>
      </c>
      <c r="AB108" s="23" t="str">
        <f aca="false">IF(OR(T108="",U108=""),"",T108-U108)</f>
        <v/>
      </c>
      <c r="AC108" s="22" t="str">
        <f aca="false">IF(OR(W108="",W108=0),"",V108/W108)</f>
        <v/>
      </c>
      <c r="AD108" s="24" t="str">
        <f aca="false">IF(B108="","",MONTH(B108))</f>
        <v/>
      </c>
    </row>
    <row r="109" customFormat="false" ht="15" hidden="false" customHeight="false" outlineLevel="0" collapsed="false">
      <c r="B109" s="19"/>
      <c r="C109" s="20"/>
      <c r="D109" s="21"/>
      <c r="E109" s="20"/>
      <c r="F109" s="21"/>
      <c r="G109" s="21"/>
      <c r="H109" s="20"/>
      <c r="I109" s="21"/>
      <c r="J109" s="21"/>
      <c r="K109" s="21"/>
      <c r="L109" s="21"/>
      <c r="M109" s="21"/>
      <c r="N109" s="21"/>
      <c r="O109" s="21"/>
      <c r="P109" s="21"/>
      <c r="Q109" s="21"/>
      <c r="R109" s="21"/>
      <c r="S109" s="21"/>
      <c r="T109" s="21"/>
      <c r="U109" s="21"/>
      <c r="V109" s="21"/>
      <c r="W109" s="21"/>
      <c r="X109" s="22" t="str">
        <f aca="false">IF(OR(N109="",N109=0),"",M109/N109)</f>
        <v/>
      </c>
      <c r="Y109" s="22" t="str">
        <f aca="false">IF(OR(M109="",M109=0),"",O109/M109)</f>
        <v/>
      </c>
      <c r="Z109" s="22" t="str">
        <f aca="false">IF(OR(Q109="",Q109=0),"",P109/Q109)</f>
        <v/>
      </c>
      <c r="AA109" s="22" t="str">
        <f aca="false">IF(OR(S109="",S109=0),"",R109/S109)</f>
        <v/>
      </c>
      <c r="AB109" s="23" t="str">
        <f aca="false">IF(OR(T109="",U109=""),"",T109-U109)</f>
        <v/>
      </c>
      <c r="AC109" s="22" t="str">
        <f aca="false">IF(OR(W109="",W109=0),"",V109/W109)</f>
        <v/>
      </c>
      <c r="AD109" s="24" t="str">
        <f aca="false">IF(B109="","",MONTH(B109))</f>
        <v/>
      </c>
    </row>
    <row r="110" customFormat="false" ht="15" hidden="false" customHeight="false" outlineLevel="0" collapsed="false">
      <c r="B110" s="19"/>
      <c r="C110" s="20"/>
      <c r="D110" s="21"/>
      <c r="E110" s="20"/>
      <c r="F110" s="21"/>
      <c r="G110" s="21"/>
      <c r="H110" s="20"/>
      <c r="I110" s="21"/>
      <c r="J110" s="21"/>
      <c r="K110" s="21"/>
      <c r="L110" s="21"/>
      <c r="M110" s="21"/>
      <c r="N110" s="21"/>
      <c r="O110" s="21"/>
      <c r="P110" s="21"/>
      <c r="Q110" s="21"/>
      <c r="R110" s="21"/>
      <c r="S110" s="21"/>
      <c r="T110" s="21"/>
      <c r="U110" s="21"/>
      <c r="V110" s="21"/>
      <c r="W110" s="21"/>
      <c r="X110" s="22" t="str">
        <f aca="false">IF(OR(N110="",N110=0),"",M110/N110)</f>
        <v/>
      </c>
      <c r="Y110" s="22" t="str">
        <f aca="false">IF(OR(M110="",M110=0),"",O110/M110)</f>
        <v/>
      </c>
      <c r="Z110" s="22" t="str">
        <f aca="false">IF(OR(Q110="",Q110=0),"",P110/Q110)</f>
        <v/>
      </c>
      <c r="AA110" s="22" t="str">
        <f aca="false">IF(OR(S110="",S110=0),"",R110/S110)</f>
        <v/>
      </c>
      <c r="AB110" s="23" t="str">
        <f aca="false">IF(OR(T110="",U110=""),"",T110-U110)</f>
        <v/>
      </c>
      <c r="AC110" s="22" t="str">
        <f aca="false">IF(OR(W110="",W110=0),"",V110/W110)</f>
        <v/>
      </c>
      <c r="AD110" s="24" t="str">
        <f aca="false">IF(B110="","",MONTH(B110))</f>
        <v/>
      </c>
    </row>
    <row r="111" customFormat="false" ht="15" hidden="false" customHeight="false" outlineLevel="0" collapsed="false">
      <c r="B111" s="19"/>
      <c r="C111" s="20"/>
      <c r="D111" s="21"/>
      <c r="E111" s="20"/>
      <c r="F111" s="21"/>
      <c r="G111" s="21"/>
      <c r="H111" s="20"/>
      <c r="I111" s="21"/>
      <c r="J111" s="21"/>
      <c r="K111" s="21"/>
      <c r="L111" s="21"/>
      <c r="M111" s="21"/>
      <c r="N111" s="21"/>
      <c r="O111" s="21"/>
      <c r="P111" s="21"/>
      <c r="Q111" s="21"/>
      <c r="R111" s="21"/>
      <c r="S111" s="21"/>
      <c r="T111" s="21"/>
      <c r="U111" s="21"/>
      <c r="V111" s="21"/>
      <c r="W111" s="21"/>
      <c r="X111" s="22" t="str">
        <f aca="false">IF(OR(N111="",N111=0),"",M111/N111)</f>
        <v/>
      </c>
      <c r="Y111" s="22" t="str">
        <f aca="false">IF(OR(M111="",M111=0),"",O111/M111)</f>
        <v/>
      </c>
      <c r="Z111" s="22" t="str">
        <f aca="false">IF(OR(Q111="",Q111=0),"",P111/Q111)</f>
        <v/>
      </c>
      <c r="AA111" s="22" t="str">
        <f aca="false">IF(OR(S111="",S111=0),"",R111/S111)</f>
        <v/>
      </c>
      <c r="AB111" s="23" t="str">
        <f aca="false">IF(OR(T111="",U111=""),"",T111-U111)</f>
        <v/>
      </c>
      <c r="AC111" s="22" t="str">
        <f aca="false">IF(OR(W111="",W111=0),"",V111/W111)</f>
        <v/>
      </c>
      <c r="AD111" s="24" t="str">
        <f aca="false">IF(B111="","",MONTH(B111))</f>
        <v/>
      </c>
    </row>
    <row r="112" customFormat="false" ht="15" hidden="false" customHeight="false" outlineLevel="0" collapsed="false">
      <c r="B112" s="19"/>
      <c r="C112" s="20"/>
      <c r="D112" s="21"/>
      <c r="E112" s="20"/>
      <c r="F112" s="21"/>
      <c r="G112" s="21"/>
      <c r="H112" s="20"/>
      <c r="I112" s="21"/>
      <c r="J112" s="21"/>
      <c r="K112" s="21"/>
      <c r="L112" s="21"/>
      <c r="M112" s="21"/>
      <c r="N112" s="21"/>
      <c r="O112" s="21"/>
      <c r="P112" s="21"/>
      <c r="Q112" s="21"/>
      <c r="R112" s="21"/>
      <c r="S112" s="21"/>
      <c r="T112" s="21"/>
      <c r="U112" s="21"/>
      <c r="V112" s="21"/>
      <c r="W112" s="21"/>
      <c r="X112" s="22" t="str">
        <f aca="false">IF(OR(N112="",N112=0),"",M112/N112)</f>
        <v/>
      </c>
      <c r="Y112" s="22" t="str">
        <f aca="false">IF(OR(M112="",M112=0),"",O112/M112)</f>
        <v/>
      </c>
      <c r="Z112" s="22" t="str">
        <f aca="false">IF(OR(Q112="",Q112=0),"",P112/Q112)</f>
        <v/>
      </c>
      <c r="AA112" s="22" t="str">
        <f aca="false">IF(OR(S112="",S112=0),"",R112/S112)</f>
        <v/>
      </c>
      <c r="AB112" s="23" t="str">
        <f aca="false">IF(OR(T112="",U112=""),"",T112-U112)</f>
        <v/>
      </c>
      <c r="AC112" s="22" t="str">
        <f aca="false">IF(OR(W112="",W112=0),"",V112/W112)</f>
        <v/>
      </c>
      <c r="AD112" s="24" t="str">
        <f aca="false">IF(B112="","",MONTH(B112))</f>
        <v/>
      </c>
    </row>
    <row r="113" customFormat="false" ht="15" hidden="false" customHeight="false" outlineLevel="0" collapsed="false">
      <c r="B113" s="19"/>
      <c r="C113" s="20"/>
      <c r="D113" s="21"/>
      <c r="E113" s="20"/>
      <c r="F113" s="21"/>
      <c r="G113" s="21"/>
      <c r="H113" s="20"/>
      <c r="I113" s="21"/>
      <c r="J113" s="21"/>
      <c r="K113" s="21"/>
      <c r="L113" s="21"/>
      <c r="M113" s="21"/>
      <c r="N113" s="21"/>
      <c r="O113" s="21"/>
      <c r="P113" s="21"/>
      <c r="Q113" s="21"/>
      <c r="R113" s="21"/>
      <c r="S113" s="21"/>
      <c r="T113" s="21"/>
      <c r="U113" s="21"/>
      <c r="V113" s="21"/>
      <c r="W113" s="21"/>
      <c r="X113" s="22" t="str">
        <f aca="false">IF(OR(N113="",N113=0),"",M113/N113)</f>
        <v/>
      </c>
      <c r="Y113" s="22" t="str">
        <f aca="false">IF(OR(M113="",M113=0),"",O113/M113)</f>
        <v/>
      </c>
      <c r="Z113" s="22" t="str">
        <f aca="false">IF(OR(Q113="",Q113=0),"",P113/Q113)</f>
        <v/>
      </c>
      <c r="AA113" s="22" t="str">
        <f aca="false">IF(OR(S113="",S113=0),"",R113/S113)</f>
        <v/>
      </c>
      <c r="AB113" s="23" t="str">
        <f aca="false">IF(OR(T113="",U113=""),"",T113-U113)</f>
        <v/>
      </c>
      <c r="AC113" s="22" t="str">
        <f aca="false">IF(OR(W113="",W113=0),"",V113/W113)</f>
        <v/>
      </c>
      <c r="AD113" s="24" t="str">
        <f aca="false">IF(B113="","",MONTH(B113))</f>
        <v/>
      </c>
    </row>
    <row r="114" customFormat="false" ht="15" hidden="false" customHeight="false" outlineLevel="0" collapsed="false">
      <c r="B114" s="19"/>
      <c r="C114" s="20"/>
      <c r="D114" s="21"/>
      <c r="E114" s="20"/>
      <c r="F114" s="21"/>
      <c r="G114" s="21"/>
      <c r="H114" s="20"/>
      <c r="I114" s="21"/>
      <c r="J114" s="21"/>
      <c r="K114" s="21"/>
      <c r="L114" s="21"/>
      <c r="M114" s="21"/>
      <c r="N114" s="21"/>
      <c r="O114" s="21"/>
      <c r="P114" s="21"/>
      <c r="Q114" s="21"/>
      <c r="R114" s="21"/>
      <c r="S114" s="21"/>
      <c r="T114" s="21"/>
      <c r="U114" s="21"/>
      <c r="V114" s="21"/>
      <c r="W114" s="21"/>
      <c r="X114" s="22" t="str">
        <f aca="false">IF(OR(N114="",N114=0),"",M114/N114)</f>
        <v/>
      </c>
      <c r="Y114" s="22" t="str">
        <f aca="false">IF(OR(M114="",M114=0),"",O114/M114)</f>
        <v/>
      </c>
      <c r="Z114" s="22" t="str">
        <f aca="false">IF(OR(Q114="",Q114=0),"",P114/Q114)</f>
        <v/>
      </c>
      <c r="AA114" s="22" t="str">
        <f aca="false">IF(OR(S114="",S114=0),"",R114/S114)</f>
        <v/>
      </c>
      <c r="AB114" s="23" t="str">
        <f aca="false">IF(OR(T114="",U114=""),"",T114-U114)</f>
        <v/>
      </c>
      <c r="AC114" s="22" t="str">
        <f aca="false">IF(OR(W114="",W114=0),"",V114/W114)</f>
        <v/>
      </c>
      <c r="AD114" s="24" t="str">
        <f aca="false">IF(B114="","",MONTH(B114))</f>
        <v/>
      </c>
    </row>
    <row r="115" customFormat="false" ht="15" hidden="false" customHeight="false" outlineLevel="0" collapsed="false">
      <c r="B115" s="19"/>
      <c r="C115" s="20"/>
      <c r="D115" s="21"/>
      <c r="E115" s="20"/>
      <c r="F115" s="21"/>
      <c r="G115" s="21"/>
      <c r="H115" s="20"/>
      <c r="I115" s="21"/>
      <c r="J115" s="21"/>
      <c r="K115" s="21"/>
      <c r="L115" s="21"/>
      <c r="M115" s="21"/>
      <c r="N115" s="21"/>
      <c r="O115" s="21"/>
      <c r="P115" s="21"/>
      <c r="Q115" s="21"/>
      <c r="R115" s="21"/>
      <c r="S115" s="21"/>
      <c r="T115" s="21"/>
      <c r="U115" s="21"/>
      <c r="V115" s="21"/>
      <c r="W115" s="21"/>
      <c r="X115" s="22" t="str">
        <f aca="false">IF(OR(N115="",N115=0),"",M115/N115)</f>
        <v/>
      </c>
      <c r="Y115" s="22" t="str">
        <f aca="false">IF(OR(M115="",M115=0),"",O115/M115)</f>
        <v/>
      </c>
      <c r="Z115" s="22" t="str">
        <f aca="false">IF(OR(Q115="",Q115=0),"",P115/Q115)</f>
        <v/>
      </c>
      <c r="AA115" s="22" t="str">
        <f aca="false">IF(OR(S115="",S115=0),"",R115/S115)</f>
        <v/>
      </c>
      <c r="AB115" s="23" t="str">
        <f aca="false">IF(OR(T115="",U115=""),"",T115-U115)</f>
        <v/>
      </c>
      <c r="AC115" s="22" t="str">
        <f aca="false">IF(OR(W115="",W115=0),"",V115/W115)</f>
        <v/>
      </c>
      <c r="AD115" s="24" t="str">
        <f aca="false">IF(B115="","",MONTH(B115))</f>
        <v/>
      </c>
    </row>
    <row r="116" customFormat="false" ht="15" hidden="false" customHeight="false" outlineLevel="0" collapsed="false">
      <c r="B116" s="19"/>
      <c r="C116" s="20"/>
      <c r="D116" s="21"/>
      <c r="E116" s="20"/>
      <c r="F116" s="21"/>
      <c r="G116" s="21"/>
      <c r="H116" s="20"/>
      <c r="I116" s="21"/>
      <c r="J116" s="21"/>
      <c r="K116" s="21"/>
      <c r="L116" s="21"/>
      <c r="M116" s="21"/>
      <c r="N116" s="21"/>
      <c r="O116" s="21"/>
      <c r="P116" s="21"/>
      <c r="Q116" s="21"/>
      <c r="R116" s="21"/>
      <c r="S116" s="21"/>
      <c r="T116" s="21"/>
      <c r="U116" s="21"/>
      <c r="V116" s="21"/>
      <c r="W116" s="21"/>
      <c r="X116" s="22" t="str">
        <f aca="false">IF(OR(N116="",N116=0),"",M116/N116)</f>
        <v/>
      </c>
      <c r="Y116" s="22" t="str">
        <f aca="false">IF(OR(M116="",M116=0),"",O116/M116)</f>
        <v/>
      </c>
      <c r="Z116" s="22" t="str">
        <f aca="false">IF(OR(Q116="",Q116=0),"",P116/Q116)</f>
        <v/>
      </c>
      <c r="AA116" s="22" t="str">
        <f aca="false">IF(OR(S116="",S116=0),"",R116/S116)</f>
        <v/>
      </c>
      <c r="AB116" s="23" t="str">
        <f aca="false">IF(OR(T116="",U116=""),"",T116-U116)</f>
        <v/>
      </c>
      <c r="AC116" s="22" t="str">
        <f aca="false">IF(OR(W116="",W116=0),"",V116/W116)</f>
        <v/>
      </c>
      <c r="AD116" s="24" t="str">
        <f aca="false">IF(B116="","",MONTH(B116))</f>
        <v/>
      </c>
    </row>
    <row r="117" customFormat="false" ht="15" hidden="false" customHeight="false" outlineLevel="0" collapsed="false">
      <c r="B117" s="19"/>
      <c r="C117" s="20"/>
      <c r="D117" s="21"/>
      <c r="E117" s="20"/>
      <c r="F117" s="21"/>
      <c r="G117" s="21"/>
      <c r="H117" s="20"/>
      <c r="I117" s="21"/>
      <c r="J117" s="21"/>
      <c r="K117" s="21"/>
      <c r="L117" s="21"/>
      <c r="M117" s="21"/>
      <c r="N117" s="21"/>
      <c r="O117" s="21"/>
      <c r="P117" s="21"/>
      <c r="Q117" s="21"/>
      <c r="R117" s="21"/>
      <c r="S117" s="21"/>
      <c r="T117" s="21"/>
      <c r="U117" s="21"/>
      <c r="V117" s="21"/>
      <c r="W117" s="21"/>
      <c r="X117" s="22" t="str">
        <f aca="false">IF(OR(N117="",N117=0),"",M117/N117)</f>
        <v/>
      </c>
      <c r="Y117" s="22" t="str">
        <f aca="false">IF(OR(M117="",M117=0),"",O117/M117)</f>
        <v/>
      </c>
      <c r="Z117" s="22" t="str">
        <f aca="false">IF(OR(Q117="",Q117=0),"",P117/Q117)</f>
        <v/>
      </c>
      <c r="AA117" s="22" t="str">
        <f aca="false">IF(OR(S117="",S117=0),"",R117/S117)</f>
        <v/>
      </c>
      <c r="AB117" s="23" t="str">
        <f aca="false">IF(OR(T117="",U117=""),"",T117-U117)</f>
        <v/>
      </c>
      <c r="AC117" s="22" t="str">
        <f aca="false">IF(OR(W117="",W117=0),"",V117/W117)</f>
        <v/>
      </c>
      <c r="AD117" s="24" t="str">
        <f aca="false">IF(B117="","",MONTH(B117))</f>
        <v/>
      </c>
    </row>
    <row r="118" customFormat="false" ht="15" hidden="false" customHeight="false" outlineLevel="0" collapsed="false">
      <c r="B118" s="19"/>
      <c r="C118" s="20"/>
      <c r="D118" s="21"/>
      <c r="E118" s="20"/>
      <c r="F118" s="21"/>
      <c r="G118" s="21"/>
      <c r="H118" s="20"/>
      <c r="I118" s="21"/>
      <c r="J118" s="21"/>
      <c r="K118" s="21"/>
      <c r="L118" s="21"/>
      <c r="M118" s="21"/>
      <c r="N118" s="21"/>
      <c r="O118" s="21"/>
      <c r="P118" s="21"/>
      <c r="Q118" s="21"/>
      <c r="R118" s="21"/>
      <c r="S118" s="21"/>
      <c r="T118" s="21"/>
      <c r="U118" s="21"/>
      <c r="V118" s="21"/>
      <c r="W118" s="21"/>
      <c r="X118" s="22" t="str">
        <f aca="false">IF(OR(N118="",N118=0),"",M118/N118)</f>
        <v/>
      </c>
      <c r="Y118" s="22" t="str">
        <f aca="false">IF(OR(M118="",M118=0),"",O118/M118)</f>
        <v/>
      </c>
      <c r="Z118" s="22" t="str">
        <f aca="false">IF(OR(Q118="",Q118=0),"",P118/Q118)</f>
        <v/>
      </c>
      <c r="AA118" s="22" t="str">
        <f aca="false">IF(OR(S118="",S118=0),"",R118/S118)</f>
        <v/>
      </c>
      <c r="AB118" s="23" t="str">
        <f aca="false">IF(OR(T118="",U118=""),"",T118-U118)</f>
        <v/>
      </c>
      <c r="AC118" s="22" t="str">
        <f aca="false">IF(OR(W118="",W118=0),"",V118/W118)</f>
        <v/>
      </c>
      <c r="AD118" s="24" t="str">
        <f aca="false">IF(B118="","",MONTH(B118))</f>
        <v/>
      </c>
    </row>
    <row r="119" customFormat="false" ht="15" hidden="false" customHeight="false" outlineLevel="0" collapsed="false">
      <c r="B119" s="19"/>
      <c r="C119" s="20"/>
      <c r="D119" s="21"/>
      <c r="E119" s="20"/>
      <c r="F119" s="21"/>
      <c r="G119" s="21"/>
      <c r="H119" s="20"/>
      <c r="I119" s="21"/>
      <c r="J119" s="21"/>
      <c r="K119" s="21"/>
      <c r="L119" s="21"/>
      <c r="M119" s="21"/>
      <c r="N119" s="21"/>
      <c r="O119" s="21"/>
      <c r="P119" s="21"/>
      <c r="Q119" s="21"/>
      <c r="R119" s="21"/>
      <c r="S119" s="21"/>
      <c r="T119" s="21"/>
      <c r="U119" s="21"/>
      <c r="V119" s="21"/>
      <c r="W119" s="21"/>
      <c r="X119" s="22" t="str">
        <f aca="false">IF(OR(N119="",N119=0),"",M119/N119)</f>
        <v/>
      </c>
      <c r="Y119" s="22" t="str">
        <f aca="false">IF(OR(M119="",M119=0),"",O119/M119)</f>
        <v/>
      </c>
      <c r="Z119" s="22" t="str">
        <f aca="false">IF(OR(Q119="",Q119=0),"",P119/Q119)</f>
        <v/>
      </c>
      <c r="AA119" s="22" t="str">
        <f aca="false">IF(OR(S119="",S119=0),"",R119/S119)</f>
        <v/>
      </c>
      <c r="AB119" s="23" t="str">
        <f aca="false">IF(OR(T119="",U119=""),"",T119-U119)</f>
        <v/>
      </c>
      <c r="AC119" s="22" t="str">
        <f aca="false">IF(OR(W119="",W119=0),"",V119/W119)</f>
        <v/>
      </c>
      <c r="AD119" s="24" t="str">
        <f aca="false">IF(B119="","",MONTH(B119))</f>
        <v/>
      </c>
    </row>
    <row r="120" customFormat="false" ht="15" hidden="false" customHeight="false" outlineLevel="0" collapsed="false">
      <c r="B120" s="19"/>
      <c r="C120" s="20"/>
      <c r="D120" s="21"/>
      <c r="E120" s="20"/>
      <c r="F120" s="21"/>
      <c r="G120" s="21"/>
      <c r="H120" s="20"/>
      <c r="I120" s="21"/>
      <c r="J120" s="21"/>
      <c r="K120" s="21"/>
      <c r="L120" s="21"/>
      <c r="M120" s="21"/>
      <c r="N120" s="21"/>
      <c r="O120" s="21"/>
      <c r="P120" s="21"/>
      <c r="Q120" s="21"/>
      <c r="R120" s="21"/>
      <c r="S120" s="21"/>
      <c r="T120" s="21"/>
      <c r="U120" s="21"/>
      <c r="V120" s="21"/>
      <c r="W120" s="21"/>
      <c r="X120" s="22" t="str">
        <f aca="false">IF(OR(N120="",N120=0),"",M120/N120)</f>
        <v/>
      </c>
      <c r="Y120" s="22" t="str">
        <f aca="false">IF(OR(M120="",M120=0),"",O120/M120)</f>
        <v/>
      </c>
      <c r="Z120" s="22" t="str">
        <f aca="false">IF(OR(Q120="",Q120=0),"",P120/Q120)</f>
        <v/>
      </c>
      <c r="AA120" s="22" t="str">
        <f aca="false">IF(OR(S120="",S120=0),"",R120/S120)</f>
        <v/>
      </c>
      <c r="AB120" s="23" t="str">
        <f aca="false">IF(OR(T120="",U120=""),"",T120-U120)</f>
        <v/>
      </c>
      <c r="AC120" s="22" t="str">
        <f aca="false">IF(OR(W120="",W120=0),"",V120/W120)</f>
        <v/>
      </c>
      <c r="AD120" s="24" t="str">
        <f aca="false">IF(B120="","",MONTH(B120))</f>
        <v/>
      </c>
    </row>
    <row r="121" customFormat="false" ht="15" hidden="false" customHeight="false" outlineLevel="0" collapsed="false">
      <c r="B121" s="19"/>
      <c r="C121" s="20"/>
      <c r="D121" s="21"/>
      <c r="E121" s="20"/>
      <c r="F121" s="21"/>
      <c r="G121" s="21"/>
      <c r="H121" s="20"/>
      <c r="I121" s="21"/>
      <c r="J121" s="21"/>
      <c r="K121" s="21"/>
      <c r="L121" s="21"/>
      <c r="M121" s="21"/>
      <c r="N121" s="21"/>
      <c r="O121" s="21"/>
      <c r="P121" s="21"/>
      <c r="Q121" s="21"/>
      <c r="R121" s="21"/>
      <c r="S121" s="21"/>
      <c r="T121" s="21"/>
      <c r="U121" s="21"/>
      <c r="V121" s="21"/>
      <c r="W121" s="21"/>
      <c r="X121" s="22" t="str">
        <f aca="false">IF(OR(N121="",N121=0),"",M121/N121)</f>
        <v/>
      </c>
      <c r="Y121" s="22" t="str">
        <f aca="false">IF(OR(M121="",M121=0),"",O121/M121)</f>
        <v/>
      </c>
      <c r="Z121" s="22" t="str">
        <f aca="false">IF(OR(Q121="",Q121=0),"",P121/Q121)</f>
        <v/>
      </c>
      <c r="AA121" s="22" t="str">
        <f aca="false">IF(OR(S121="",S121=0),"",R121/S121)</f>
        <v/>
      </c>
      <c r="AB121" s="23" t="str">
        <f aca="false">IF(OR(T121="",U121=""),"",T121-U121)</f>
        <v/>
      </c>
      <c r="AC121" s="22" t="str">
        <f aca="false">IF(OR(W121="",W121=0),"",V121/W121)</f>
        <v/>
      </c>
      <c r="AD121" s="24" t="str">
        <f aca="false">IF(B121="","",MONTH(B121))</f>
        <v/>
      </c>
    </row>
    <row r="122" customFormat="false" ht="15" hidden="false" customHeight="false" outlineLevel="0" collapsed="false">
      <c r="B122" s="19"/>
      <c r="C122" s="20"/>
      <c r="D122" s="21"/>
      <c r="E122" s="20"/>
      <c r="F122" s="21"/>
      <c r="G122" s="21"/>
      <c r="H122" s="20"/>
      <c r="I122" s="21"/>
      <c r="J122" s="21"/>
      <c r="K122" s="21"/>
      <c r="L122" s="21"/>
      <c r="M122" s="21"/>
      <c r="N122" s="21"/>
      <c r="O122" s="21"/>
      <c r="P122" s="21"/>
      <c r="Q122" s="21"/>
      <c r="R122" s="21"/>
      <c r="S122" s="21"/>
      <c r="T122" s="21"/>
      <c r="U122" s="21"/>
      <c r="V122" s="21"/>
      <c r="W122" s="21"/>
      <c r="X122" s="22" t="str">
        <f aca="false">IF(OR(N122="",N122=0),"",M122/N122)</f>
        <v/>
      </c>
      <c r="Y122" s="22" t="str">
        <f aca="false">IF(OR(M122="",M122=0),"",O122/M122)</f>
        <v/>
      </c>
      <c r="Z122" s="22" t="str">
        <f aca="false">IF(OR(Q122="",Q122=0),"",P122/Q122)</f>
        <v/>
      </c>
      <c r="AA122" s="22" t="str">
        <f aca="false">IF(OR(S122="",S122=0),"",R122/S122)</f>
        <v/>
      </c>
      <c r="AB122" s="23" t="str">
        <f aca="false">IF(OR(T122="",U122=""),"",T122-U122)</f>
        <v/>
      </c>
      <c r="AC122" s="22" t="str">
        <f aca="false">IF(OR(W122="",W122=0),"",V122/W122)</f>
        <v/>
      </c>
      <c r="AD122" s="24" t="str">
        <f aca="false">IF(B122="","",MONTH(B122))</f>
        <v/>
      </c>
    </row>
    <row r="123" customFormat="false" ht="15" hidden="false" customHeight="false" outlineLevel="0" collapsed="false">
      <c r="B123" s="19"/>
      <c r="C123" s="20"/>
      <c r="D123" s="21"/>
      <c r="E123" s="20"/>
      <c r="F123" s="21"/>
      <c r="G123" s="21"/>
      <c r="H123" s="20"/>
      <c r="I123" s="21"/>
      <c r="J123" s="21"/>
      <c r="K123" s="21"/>
      <c r="L123" s="21"/>
      <c r="M123" s="21"/>
      <c r="N123" s="21"/>
      <c r="O123" s="21"/>
      <c r="P123" s="21"/>
      <c r="Q123" s="21"/>
      <c r="R123" s="21"/>
      <c r="S123" s="21"/>
      <c r="T123" s="21"/>
      <c r="U123" s="21"/>
      <c r="V123" s="21"/>
      <c r="W123" s="21"/>
      <c r="X123" s="22" t="str">
        <f aca="false">IF(OR(N123="",N123=0),"",M123/N123)</f>
        <v/>
      </c>
      <c r="Y123" s="22" t="str">
        <f aca="false">IF(OR(M123="",M123=0),"",O123/M123)</f>
        <v/>
      </c>
      <c r="Z123" s="22" t="str">
        <f aca="false">IF(OR(Q123="",Q123=0),"",P123/Q123)</f>
        <v/>
      </c>
      <c r="AA123" s="22" t="str">
        <f aca="false">IF(OR(S123="",S123=0),"",R123/S123)</f>
        <v/>
      </c>
      <c r="AB123" s="23" t="str">
        <f aca="false">IF(OR(T123="",U123=""),"",T123-U123)</f>
        <v/>
      </c>
      <c r="AC123" s="22" t="str">
        <f aca="false">IF(OR(W123="",W123=0),"",V123/W123)</f>
        <v/>
      </c>
      <c r="AD123" s="24" t="str">
        <f aca="false">IF(B123="","",MONTH(B123))</f>
        <v/>
      </c>
    </row>
    <row r="124" customFormat="false" ht="15" hidden="false" customHeight="false" outlineLevel="0" collapsed="false">
      <c r="B124" s="19"/>
      <c r="C124" s="20"/>
      <c r="D124" s="21"/>
      <c r="E124" s="20"/>
      <c r="F124" s="21"/>
      <c r="G124" s="21"/>
      <c r="H124" s="20"/>
      <c r="I124" s="21"/>
      <c r="J124" s="21"/>
      <c r="K124" s="21"/>
      <c r="L124" s="21"/>
      <c r="M124" s="21"/>
      <c r="N124" s="21"/>
      <c r="O124" s="21"/>
      <c r="P124" s="21"/>
      <c r="Q124" s="21"/>
      <c r="R124" s="21"/>
      <c r="S124" s="21"/>
      <c r="T124" s="21"/>
      <c r="U124" s="21"/>
      <c r="V124" s="21"/>
      <c r="W124" s="21"/>
      <c r="X124" s="22" t="str">
        <f aca="false">IF(OR(N124="",N124=0),"",M124/N124)</f>
        <v/>
      </c>
      <c r="Y124" s="22" t="str">
        <f aca="false">IF(OR(M124="",M124=0),"",O124/M124)</f>
        <v/>
      </c>
      <c r="Z124" s="22" t="str">
        <f aca="false">IF(OR(Q124="",Q124=0),"",P124/Q124)</f>
        <v/>
      </c>
      <c r="AA124" s="22" t="str">
        <f aca="false">IF(OR(S124="",S124=0),"",R124/S124)</f>
        <v/>
      </c>
      <c r="AB124" s="23" t="str">
        <f aca="false">IF(OR(T124="",U124=""),"",T124-U124)</f>
        <v/>
      </c>
      <c r="AC124" s="22" t="str">
        <f aca="false">IF(OR(W124="",W124=0),"",V124/W124)</f>
        <v/>
      </c>
      <c r="AD124" s="24" t="str">
        <f aca="false">IF(B124="","",MONTH(B124))</f>
        <v/>
      </c>
    </row>
    <row r="125" customFormat="false" ht="15" hidden="false" customHeight="false" outlineLevel="0" collapsed="false">
      <c r="B125" s="19"/>
      <c r="C125" s="20"/>
      <c r="D125" s="21"/>
      <c r="E125" s="20"/>
      <c r="F125" s="21"/>
      <c r="G125" s="21"/>
      <c r="H125" s="20"/>
      <c r="I125" s="21"/>
      <c r="J125" s="21"/>
      <c r="K125" s="21"/>
      <c r="L125" s="21"/>
      <c r="M125" s="21"/>
      <c r="N125" s="21"/>
      <c r="O125" s="21"/>
      <c r="P125" s="21"/>
      <c r="Q125" s="21"/>
      <c r="R125" s="21"/>
      <c r="S125" s="21"/>
      <c r="T125" s="21"/>
      <c r="U125" s="21"/>
      <c r="V125" s="21"/>
      <c r="W125" s="21"/>
      <c r="X125" s="22" t="str">
        <f aca="false">IF(OR(N125="",N125=0),"",M125/N125)</f>
        <v/>
      </c>
      <c r="Y125" s="22" t="str">
        <f aca="false">IF(OR(M125="",M125=0),"",O125/M125)</f>
        <v/>
      </c>
      <c r="Z125" s="22" t="str">
        <f aca="false">IF(OR(Q125="",Q125=0),"",P125/Q125)</f>
        <v/>
      </c>
      <c r="AA125" s="22" t="str">
        <f aca="false">IF(OR(S125="",S125=0),"",R125/S125)</f>
        <v/>
      </c>
      <c r="AB125" s="23" t="str">
        <f aca="false">IF(OR(T125="",U125=""),"",T125-U125)</f>
        <v/>
      </c>
      <c r="AC125" s="22" t="str">
        <f aca="false">IF(OR(W125="",W125=0),"",V125/W125)</f>
        <v/>
      </c>
      <c r="AD125" s="24" t="str">
        <f aca="false">IF(B125="","",MONTH(B125))</f>
        <v/>
      </c>
    </row>
    <row r="126" customFormat="false" ht="15" hidden="false" customHeight="false" outlineLevel="0" collapsed="false">
      <c r="B126" s="19"/>
      <c r="C126" s="20"/>
      <c r="D126" s="21"/>
      <c r="E126" s="20"/>
      <c r="F126" s="21"/>
      <c r="G126" s="21"/>
      <c r="H126" s="20"/>
      <c r="I126" s="21"/>
      <c r="J126" s="21"/>
      <c r="K126" s="21"/>
      <c r="L126" s="21"/>
      <c r="M126" s="21"/>
      <c r="N126" s="21"/>
      <c r="O126" s="21"/>
      <c r="P126" s="21"/>
      <c r="Q126" s="21"/>
      <c r="R126" s="21"/>
      <c r="S126" s="21"/>
      <c r="T126" s="21"/>
      <c r="U126" s="21"/>
      <c r="V126" s="21"/>
      <c r="W126" s="21"/>
      <c r="X126" s="22" t="str">
        <f aca="false">IF(OR(N126="",N126=0),"",M126/N126)</f>
        <v/>
      </c>
      <c r="Y126" s="22" t="str">
        <f aca="false">IF(OR(M126="",M126=0),"",O126/M126)</f>
        <v/>
      </c>
      <c r="Z126" s="22" t="str">
        <f aca="false">IF(OR(Q126="",Q126=0),"",P126/Q126)</f>
        <v/>
      </c>
      <c r="AA126" s="22" t="str">
        <f aca="false">IF(OR(S126="",S126=0),"",R126/S126)</f>
        <v/>
      </c>
      <c r="AB126" s="23" t="str">
        <f aca="false">IF(OR(T126="",U126=""),"",T126-U126)</f>
        <v/>
      </c>
      <c r="AC126" s="22" t="str">
        <f aca="false">IF(OR(W126="",W126=0),"",V126/W126)</f>
        <v/>
      </c>
      <c r="AD126" s="24" t="str">
        <f aca="false">IF(B126="","",MONTH(B126))</f>
        <v/>
      </c>
    </row>
    <row r="127" customFormat="false" ht="15" hidden="false" customHeight="false" outlineLevel="0" collapsed="false">
      <c r="B127" s="19"/>
      <c r="C127" s="20"/>
      <c r="D127" s="21"/>
      <c r="E127" s="20"/>
      <c r="F127" s="21"/>
      <c r="G127" s="21"/>
      <c r="H127" s="20"/>
      <c r="I127" s="21"/>
      <c r="J127" s="21"/>
      <c r="K127" s="21"/>
      <c r="L127" s="21"/>
      <c r="M127" s="21"/>
      <c r="N127" s="21"/>
      <c r="O127" s="21"/>
      <c r="P127" s="21"/>
      <c r="Q127" s="21"/>
      <c r="R127" s="21"/>
      <c r="S127" s="21"/>
      <c r="T127" s="21"/>
      <c r="U127" s="21"/>
      <c r="V127" s="21"/>
      <c r="W127" s="21"/>
      <c r="X127" s="22" t="str">
        <f aca="false">IF(OR(N127="",N127=0),"",M127/N127)</f>
        <v/>
      </c>
      <c r="Y127" s="22" t="str">
        <f aca="false">IF(OR(M127="",M127=0),"",O127/M127)</f>
        <v/>
      </c>
      <c r="Z127" s="22" t="str">
        <f aca="false">IF(OR(Q127="",Q127=0),"",P127/Q127)</f>
        <v/>
      </c>
      <c r="AA127" s="22" t="str">
        <f aca="false">IF(OR(S127="",S127=0),"",R127/S127)</f>
        <v/>
      </c>
      <c r="AB127" s="23" t="str">
        <f aca="false">IF(OR(T127="",U127=""),"",T127-U127)</f>
        <v/>
      </c>
      <c r="AC127" s="22" t="str">
        <f aca="false">IF(OR(W127="",W127=0),"",V127/W127)</f>
        <v/>
      </c>
      <c r="AD127" s="24" t="str">
        <f aca="false">IF(B127="","",MONTH(B127))</f>
        <v/>
      </c>
    </row>
    <row r="128" customFormat="false" ht="15" hidden="false" customHeight="false" outlineLevel="0" collapsed="false">
      <c r="B128" s="19"/>
      <c r="C128" s="20"/>
      <c r="D128" s="21"/>
      <c r="E128" s="20"/>
      <c r="F128" s="21"/>
      <c r="G128" s="21"/>
      <c r="H128" s="20"/>
      <c r="I128" s="21"/>
      <c r="J128" s="21"/>
      <c r="K128" s="21"/>
      <c r="L128" s="21"/>
      <c r="M128" s="21"/>
      <c r="N128" s="21"/>
      <c r="O128" s="21"/>
      <c r="P128" s="21"/>
      <c r="Q128" s="21"/>
      <c r="R128" s="21"/>
      <c r="S128" s="21"/>
      <c r="T128" s="21"/>
      <c r="U128" s="21"/>
      <c r="V128" s="21"/>
      <c r="W128" s="21"/>
      <c r="X128" s="22" t="str">
        <f aca="false">IF(OR(N128="",N128=0),"",M128/N128)</f>
        <v/>
      </c>
      <c r="Y128" s="22" t="str">
        <f aca="false">IF(OR(M128="",M128=0),"",O128/M128)</f>
        <v/>
      </c>
      <c r="Z128" s="22" t="str">
        <f aca="false">IF(OR(Q128="",Q128=0),"",P128/Q128)</f>
        <v/>
      </c>
      <c r="AA128" s="22" t="str">
        <f aca="false">IF(OR(S128="",S128=0),"",R128/S128)</f>
        <v/>
      </c>
      <c r="AB128" s="23" t="str">
        <f aca="false">IF(OR(T128="",U128=""),"",T128-U128)</f>
        <v/>
      </c>
      <c r="AC128" s="22" t="str">
        <f aca="false">IF(OR(W128="",W128=0),"",V128/W128)</f>
        <v/>
      </c>
      <c r="AD128" s="24" t="str">
        <f aca="false">IF(B128="","",MONTH(B128))</f>
        <v/>
      </c>
    </row>
    <row r="129" customFormat="false" ht="15" hidden="false" customHeight="false" outlineLevel="0" collapsed="false">
      <c r="B129" s="19"/>
      <c r="C129" s="20"/>
      <c r="D129" s="21"/>
      <c r="E129" s="20"/>
      <c r="F129" s="21"/>
      <c r="G129" s="21"/>
      <c r="H129" s="20"/>
      <c r="I129" s="21"/>
      <c r="J129" s="21"/>
      <c r="K129" s="21"/>
      <c r="L129" s="21"/>
      <c r="M129" s="21"/>
      <c r="N129" s="21"/>
      <c r="O129" s="21"/>
      <c r="P129" s="21"/>
      <c r="Q129" s="21"/>
      <c r="R129" s="21"/>
      <c r="S129" s="21"/>
      <c r="T129" s="21"/>
      <c r="U129" s="21"/>
      <c r="V129" s="21"/>
      <c r="W129" s="21"/>
      <c r="X129" s="22" t="str">
        <f aca="false">IF(OR(N129="",N129=0),"",M129/N129)</f>
        <v/>
      </c>
      <c r="Y129" s="22" t="str">
        <f aca="false">IF(OR(M129="",M129=0),"",O129/M129)</f>
        <v/>
      </c>
      <c r="Z129" s="22" t="str">
        <f aca="false">IF(OR(Q129="",Q129=0),"",P129/Q129)</f>
        <v/>
      </c>
      <c r="AA129" s="22" t="str">
        <f aca="false">IF(OR(S129="",S129=0),"",R129/S129)</f>
        <v/>
      </c>
      <c r="AB129" s="23" t="str">
        <f aca="false">IF(OR(T129="",U129=""),"",T129-U129)</f>
        <v/>
      </c>
      <c r="AC129" s="22" t="str">
        <f aca="false">IF(OR(W129="",W129=0),"",V129/W129)</f>
        <v/>
      </c>
      <c r="AD129" s="24" t="str">
        <f aca="false">IF(B129="","",MONTH(B129))</f>
        <v/>
      </c>
    </row>
    <row r="130" customFormat="false" ht="15" hidden="false" customHeight="false" outlineLevel="0" collapsed="false">
      <c r="B130" s="19"/>
      <c r="C130" s="20"/>
      <c r="D130" s="21"/>
      <c r="E130" s="20"/>
      <c r="F130" s="21"/>
      <c r="G130" s="21"/>
      <c r="H130" s="20"/>
      <c r="I130" s="21"/>
      <c r="J130" s="21"/>
      <c r="K130" s="21"/>
      <c r="L130" s="21"/>
      <c r="M130" s="21"/>
      <c r="N130" s="21"/>
      <c r="O130" s="21"/>
      <c r="P130" s="21"/>
      <c r="Q130" s="21"/>
      <c r="R130" s="21"/>
      <c r="S130" s="21"/>
      <c r="T130" s="21"/>
      <c r="U130" s="21"/>
      <c r="V130" s="21"/>
      <c r="W130" s="21"/>
      <c r="X130" s="22" t="str">
        <f aca="false">IF(OR(N130="",N130=0),"",M130/N130)</f>
        <v/>
      </c>
      <c r="Y130" s="22" t="str">
        <f aca="false">IF(OR(M130="",M130=0),"",O130/M130)</f>
        <v/>
      </c>
      <c r="Z130" s="22" t="str">
        <f aca="false">IF(OR(Q130="",Q130=0),"",P130/Q130)</f>
        <v/>
      </c>
      <c r="AA130" s="22" t="str">
        <f aca="false">IF(OR(S130="",S130=0),"",R130/S130)</f>
        <v/>
      </c>
      <c r="AB130" s="23" t="str">
        <f aca="false">IF(OR(T130="",U130=""),"",T130-U130)</f>
        <v/>
      </c>
      <c r="AC130" s="22" t="str">
        <f aca="false">IF(OR(W130="",W130=0),"",V130/W130)</f>
        <v/>
      </c>
      <c r="AD130" s="24" t="str">
        <f aca="false">IF(B130="","",MONTH(B130))</f>
        <v/>
      </c>
    </row>
    <row r="131" customFormat="false" ht="15" hidden="false" customHeight="false" outlineLevel="0" collapsed="false">
      <c r="B131" s="19"/>
      <c r="C131" s="20"/>
      <c r="D131" s="21"/>
      <c r="E131" s="20"/>
      <c r="F131" s="21"/>
      <c r="G131" s="21"/>
      <c r="H131" s="20"/>
      <c r="I131" s="21"/>
      <c r="J131" s="21"/>
      <c r="K131" s="21"/>
      <c r="L131" s="21"/>
      <c r="M131" s="21"/>
      <c r="N131" s="21"/>
      <c r="O131" s="21"/>
      <c r="P131" s="21"/>
      <c r="Q131" s="21"/>
      <c r="R131" s="21"/>
      <c r="S131" s="21"/>
      <c r="T131" s="21"/>
      <c r="U131" s="21"/>
      <c r="V131" s="21"/>
      <c r="W131" s="21"/>
      <c r="X131" s="22" t="str">
        <f aca="false">IF(OR(N131="",N131=0),"",M131/N131)</f>
        <v/>
      </c>
      <c r="Y131" s="22" t="str">
        <f aca="false">IF(OR(M131="",M131=0),"",O131/M131)</f>
        <v/>
      </c>
      <c r="Z131" s="22" t="str">
        <f aca="false">IF(OR(Q131="",Q131=0),"",P131/Q131)</f>
        <v/>
      </c>
      <c r="AA131" s="22" t="str">
        <f aca="false">IF(OR(S131="",S131=0),"",R131/S131)</f>
        <v/>
      </c>
      <c r="AB131" s="23" t="str">
        <f aca="false">IF(OR(T131="",U131=""),"",T131-U131)</f>
        <v/>
      </c>
      <c r="AC131" s="22" t="str">
        <f aca="false">IF(OR(W131="",W131=0),"",V131/W131)</f>
        <v/>
      </c>
      <c r="AD131" s="24" t="str">
        <f aca="false">IF(B131="","",MONTH(B131))</f>
        <v/>
      </c>
    </row>
    <row r="132" customFormat="false" ht="15" hidden="false" customHeight="false" outlineLevel="0" collapsed="false">
      <c r="B132" s="19"/>
      <c r="C132" s="20"/>
      <c r="D132" s="21"/>
      <c r="E132" s="20"/>
      <c r="F132" s="21"/>
      <c r="G132" s="21"/>
      <c r="H132" s="20"/>
      <c r="I132" s="21"/>
      <c r="J132" s="21"/>
      <c r="K132" s="21"/>
      <c r="L132" s="21"/>
      <c r="M132" s="21"/>
      <c r="N132" s="21"/>
      <c r="O132" s="21"/>
      <c r="P132" s="21"/>
      <c r="Q132" s="21"/>
      <c r="R132" s="21"/>
      <c r="S132" s="21"/>
      <c r="T132" s="21"/>
      <c r="U132" s="21"/>
      <c r="V132" s="21"/>
      <c r="W132" s="21"/>
      <c r="X132" s="22" t="str">
        <f aca="false">IF(OR(N132="",N132=0),"",M132/N132)</f>
        <v/>
      </c>
      <c r="Y132" s="22" t="str">
        <f aca="false">IF(OR(M132="",M132=0),"",O132/M132)</f>
        <v/>
      </c>
      <c r="Z132" s="22" t="str">
        <f aca="false">IF(OR(Q132="",Q132=0),"",P132/Q132)</f>
        <v/>
      </c>
      <c r="AA132" s="22" t="str">
        <f aca="false">IF(OR(S132="",S132=0),"",R132/S132)</f>
        <v/>
      </c>
      <c r="AB132" s="23" t="str">
        <f aca="false">IF(OR(T132="",U132=""),"",T132-U132)</f>
        <v/>
      </c>
      <c r="AC132" s="22" t="str">
        <f aca="false">IF(OR(W132="",W132=0),"",V132/W132)</f>
        <v/>
      </c>
      <c r="AD132" s="24" t="str">
        <f aca="false">IF(B132="","",MONTH(B132))</f>
        <v/>
      </c>
    </row>
    <row r="133" customFormat="false" ht="15" hidden="false" customHeight="false" outlineLevel="0" collapsed="false">
      <c r="B133" s="19"/>
      <c r="C133" s="20"/>
      <c r="D133" s="21"/>
      <c r="E133" s="20"/>
      <c r="F133" s="21"/>
      <c r="G133" s="21"/>
      <c r="H133" s="20"/>
      <c r="I133" s="21"/>
      <c r="J133" s="21"/>
      <c r="K133" s="21"/>
      <c r="L133" s="21"/>
      <c r="M133" s="21"/>
      <c r="N133" s="21"/>
      <c r="O133" s="21"/>
      <c r="P133" s="21"/>
      <c r="Q133" s="21"/>
      <c r="R133" s="21"/>
      <c r="S133" s="21"/>
      <c r="T133" s="21"/>
      <c r="U133" s="21"/>
      <c r="V133" s="21"/>
      <c r="W133" s="21"/>
      <c r="X133" s="22" t="str">
        <f aca="false">IF(OR(N133="",N133=0),"",M133/N133)</f>
        <v/>
      </c>
      <c r="Y133" s="22" t="str">
        <f aca="false">IF(OR(M133="",M133=0),"",O133/M133)</f>
        <v/>
      </c>
      <c r="Z133" s="22" t="str">
        <f aca="false">IF(OR(Q133="",Q133=0),"",P133/Q133)</f>
        <v/>
      </c>
      <c r="AA133" s="22" t="str">
        <f aca="false">IF(OR(S133="",S133=0),"",R133/S133)</f>
        <v/>
      </c>
      <c r="AB133" s="23" t="str">
        <f aca="false">IF(OR(T133="",U133=""),"",T133-U133)</f>
        <v/>
      </c>
      <c r="AC133" s="22" t="str">
        <f aca="false">IF(OR(W133="",W133=0),"",V133/W133)</f>
        <v/>
      </c>
      <c r="AD133" s="24" t="str">
        <f aca="false">IF(B133="","",MONTH(B133))</f>
        <v/>
      </c>
    </row>
    <row r="134" customFormat="false" ht="15" hidden="false" customHeight="false" outlineLevel="0" collapsed="false">
      <c r="B134" s="19"/>
      <c r="C134" s="20"/>
      <c r="D134" s="21"/>
      <c r="E134" s="20"/>
      <c r="F134" s="21"/>
      <c r="G134" s="21"/>
      <c r="H134" s="20"/>
      <c r="I134" s="21"/>
      <c r="J134" s="21"/>
      <c r="K134" s="21"/>
      <c r="L134" s="21"/>
      <c r="M134" s="21"/>
      <c r="N134" s="21"/>
      <c r="O134" s="21"/>
      <c r="P134" s="21"/>
      <c r="Q134" s="21"/>
      <c r="R134" s="21"/>
      <c r="S134" s="21"/>
      <c r="T134" s="21"/>
      <c r="U134" s="21"/>
      <c r="V134" s="21"/>
      <c r="W134" s="21"/>
      <c r="X134" s="22" t="str">
        <f aca="false">IF(OR(N134="",N134=0),"",M134/N134)</f>
        <v/>
      </c>
      <c r="Y134" s="22" t="str">
        <f aca="false">IF(OR(M134="",M134=0),"",O134/M134)</f>
        <v/>
      </c>
      <c r="Z134" s="22" t="str">
        <f aca="false">IF(OR(Q134="",Q134=0),"",P134/Q134)</f>
        <v/>
      </c>
      <c r="AA134" s="22" t="str">
        <f aca="false">IF(OR(S134="",S134=0),"",R134/S134)</f>
        <v/>
      </c>
      <c r="AB134" s="23" t="str">
        <f aca="false">IF(OR(T134="",U134=""),"",T134-U134)</f>
        <v/>
      </c>
      <c r="AC134" s="22" t="str">
        <f aca="false">IF(OR(W134="",W134=0),"",V134/W134)</f>
        <v/>
      </c>
      <c r="AD134" s="24" t="str">
        <f aca="false">IF(B134="","",MONTH(B134))</f>
        <v/>
      </c>
    </row>
    <row r="135" customFormat="false" ht="15" hidden="false" customHeight="false" outlineLevel="0" collapsed="false">
      <c r="B135" s="19"/>
      <c r="C135" s="20"/>
      <c r="D135" s="21"/>
      <c r="E135" s="20"/>
      <c r="F135" s="21"/>
      <c r="G135" s="21"/>
      <c r="H135" s="20"/>
      <c r="I135" s="21"/>
      <c r="J135" s="21"/>
      <c r="K135" s="21"/>
      <c r="L135" s="21"/>
      <c r="M135" s="21"/>
      <c r="N135" s="21"/>
      <c r="O135" s="21"/>
      <c r="P135" s="21"/>
      <c r="Q135" s="21"/>
      <c r="R135" s="21"/>
      <c r="S135" s="21"/>
      <c r="T135" s="21"/>
      <c r="U135" s="21"/>
      <c r="V135" s="21"/>
      <c r="W135" s="21"/>
      <c r="X135" s="22" t="str">
        <f aca="false">IF(OR(N135="",N135=0),"",M135/N135)</f>
        <v/>
      </c>
      <c r="Y135" s="22" t="str">
        <f aca="false">IF(OR(M135="",M135=0),"",O135/M135)</f>
        <v/>
      </c>
      <c r="Z135" s="22" t="str">
        <f aca="false">IF(OR(Q135="",Q135=0),"",P135/Q135)</f>
        <v/>
      </c>
      <c r="AA135" s="22" t="str">
        <f aca="false">IF(OR(S135="",S135=0),"",R135/S135)</f>
        <v/>
      </c>
      <c r="AB135" s="23" t="str">
        <f aca="false">IF(OR(T135="",U135=""),"",T135-U135)</f>
        <v/>
      </c>
      <c r="AC135" s="22" t="str">
        <f aca="false">IF(OR(W135="",W135=0),"",V135/W135)</f>
        <v/>
      </c>
      <c r="AD135" s="24" t="str">
        <f aca="false">IF(B135="","",MONTH(B135))</f>
        <v/>
      </c>
    </row>
    <row r="136" customFormat="false" ht="15" hidden="false" customHeight="false" outlineLevel="0" collapsed="false">
      <c r="B136" s="19"/>
      <c r="C136" s="20"/>
      <c r="D136" s="21"/>
      <c r="E136" s="20"/>
      <c r="F136" s="21"/>
      <c r="G136" s="21"/>
      <c r="H136" s="20"/>
      <c r="I136" s="21"/>
      <c r="J136" s="21"/>
      <c r="K136" s="21"/>
      <c r="L136" s="21"/>
      <c r="M136" s="21"/>
      <c r="N136" s="21"/>
      <c r="O136" s="21"/>
      <c r="P136" s="21"/>
      <c r="Q136" s="21"/>
      <c r="R136" s="21"/>
      <c r="S136" s="21"/>
      <c r="T136" s="21"/>
      <c r="U136" s="21"/>
      <c r="V136" s="21"/>
      <c r="W136" s="21"/>
      <c r="X136" s="22" t="str">
        <f aca="false">IF(OR(N136="",N136=0),"",M136/N136)</f>
        <v/>
      </c>
      <c r="Y136" s="22" t="str">
        <f aca="false">IF(OR(M136="",M136=0),"",O136/M136)</f>
        <v/>
      </c>
      <c r="Z136" s="22" t="str">
        <f aca="false">IF(OR(Q136="",Q136=0),"",P136/Q136)</f>
        <v/>
      </c>
      <c r="AA136" s="22" t="str">
        <f aca="false">IF(OR(S136="",S136=0),"",R136/S136)</f>
        <v/>
      </c>
      <c r="AB136" s="23" t="str">
        <f aca="false">IF(OR(T136="",U136=""),"",T136-U136)</f>
        <v/>
      </c>
      <c r="AC136" s="22" t="str">
        <f aca="false">IF(OR(W136="",W136=0),"",V136/W136)</f>
        <v/>
      </c>
      <c r="AD136" s="24" t="str">
        <f aca="false">IF(B136="","",MONTH(B136))</f>
        <v/>
      </c>
    </row>
    <row r="137" customFormat="false" ht="15" hidden="false" customHeight="false" outlineLevel="0" collapsed="false">
      <c r="B137" s="19"/>
      <c r="C137" s="20"/>
      <c r="D137" s="21"/>
      <c r="E137" s="20"/>
      <c r="F137" s="21"/>
      <c r="G137" s="21"/>
      <c r="H137" s="20"/>
      <c r="I137" s="21"/>
      <c r="J137" s="21"/>
      <c r="K137" s="21"/>
      <c r="L137" s="21"/>
      <c r="M137" s="21"/>
      <c r="N137" s="21"/>
      <c r="O137" s="21"/>
      <c r="P137" s="21"/>
      <c r="Q137" s="21"/>
      <c r="R137" s="21"/>
      <c r="S137" s="21"/>
      <c r="T137" s="21"/>
      <c r="U137" s="21"/>
      <c r="V137" s="21"/>
      <c r="W137" s="21"/>
      <c r="X137" s="22" t="str">
        <f aca="false">IF(OR(N137="",N137=0),"",M137/N137)</f>
        <v/>
      </c>
      <c r="Y137" s="22" t="str">
        <f aca="false">IF(OR(M137="",M137=0),"",O137/M137)</f>
        <v/>
      </c>
      <c r="Z137" s="22" t="str">
        <f aca="false">IF(OR(Q137="",Q137=0),"",P137/Q137)</f>
        <v/>
      </c>
      <c r="AA137" s="22" t="str">
        <f aca="false">IF(OR(S137="",S137=0),"",R137/S137)</f>
        <v/>
      </c>
      <c r="AB137" s="23" t="str">
        <f aca="false">IF(OR(T137="",U137=""),"",T137-U137)</f>
        <v/>
      </c>
      <c r="AC137" s="22" t="str">
        <f aca="false">IF(OR(W137="",W137=0),"",V137/W137)</f>
        <v/>
      </c>
      <c r="AD137" s="24" t="str">
        <f aca="false">IF(B137="","",MONTH(B137))</f>
        <v/>
      </c>
    </row>
    <row r="138" customFormat="false" ht="15" hidden="false" customHeight="false" outlineLevel="0" collapsed="false">
      <c r="B138" s="19"/>
      <c r="C138" s="20"/>
      <c r="D138" s="21"/>
      <c r="E138" s="20"/>
      <c r="F138" s="21"/>
      <c r="G138" s="21"/>
      <c r="H138" s="20"/>
      <c r="I138" s="21"/>
      <c r="J138" s="21"/>
      <c r="K138" s="21"/>
      <c r="L138" s="21"/>
      <c r="M138" s="21"/>
      <c r="N138" s="21"/>
      <c r="O138" s="21"/>
      <c r="P138" s="21"/>
      <c r="Q138" s="21"/>
      <c r="R138" s="21"/>
      <c r="S138" s="21"/>
      <c r="T138" s="21"/>
      <c r="U138" s="21"/>
      <c r="V138" s="21"/>
      <c r="W138" s="21"/>
      <c r="X138" s="22" t="str">
        <f aca="false">IF(OR(N138="",N138=0),"",M138/N138)</f>
        <v/>
      </c>
      <c r="Y138" s="22" t="str">
        <f aca="false">IF(OR(M138="",M138=0),"",O138/M138)</f>
        <v/>
      </c>
      <c r="Z138" s="22" t="str">
        <f aca="false">IF(OR(Q138="",Q138=0),"",P138/Q138)</f>
        <v/>
      </c>
      <c r="AA138" s="22" t="str">
        <f aca="false">IF(OR(S138="",S138=0),"",R138/S138)</f>
        <v/>
      </c>
      <c r="AB138" s="23" t="str">
        <f aca="false">IF(OR(T138="",U138=""),"",T138-U138)</f>
        <v/>
      </c>
      <c r="AC138" s="22" t="str">
        <f aca="false">IF(OR(W138="",W138=0),"",V138/W138)</f>
        <v/>
      </c>
      <c r="AD138" s="24" t="str">
        <f aca="false">IF(B138="","",MONTH(B138))</f>
        <v/>
      </c>
    </row>
    <row r="139" customFormat="false" ht="15" hidden="false" customHeight="false" outlineLevel="0" collapsed="false">
      <c r="B139" s="19"/>
      <c r="C139" s="20"/>
      <c r="D139" s="21"/>
      <c r="E139" s="20"/>
      <c r="F139" s="21"/>
      <c r="G139" s="21"/>
      <c r="H139" s="20"/>
      <c r="I139" s="21"/>
      <c r="J139" s="21"/>
      <c r="K139" s="21"/>
      <c r="L139" s="21"/>
      <c r="M139" s="21"/>
      <c r="N139" s="21"/>
      <c r="O139" s="21"/>
      <c r="P139" s="21"/>
      <c r="Q139" s="21"/>
      <c r="R139" s="21"/>
      <c r="S139" s="21"/>
      <c r="T139" s="21"/>
      <c r="U139" s="21"/>
      <c r="V139" s="21"/>
      <c r="W139" s="21"/>
      <c r="X139" s="22" t="str">
        <f aca="false">IF(OR(N139="",N139=0),"",M139/N139)</f>
        <v/>
      </c>
      <c r="Y139" s="22" t="str">
        <f aca="false">IF(OR(M139="",M139=0),"",O139/M139)</f>
        <v/>
      </c>
      <c r="Z139" s="22" t="str">
        <f aca="false">IF(OR(Q139="",Q139=0),"",P139/Q139)</f>
        <v/>
      </c>
      <c r="AA139" s="22" t="str">
        <f aca="false">IF(OR(S139="",S139=0),"",R139/S139)</f>
        <v/>
      </c>
      <c r="AB139" s="23" t="str">
        <f aca="false">IF(OR(T139="",U139=""),"",T139-U139)</f>
        <v/>
      </c>
      <c r="AC139" s="22" t="str">
        <f aca="false">IF(OR(W139="",W139=0),"",V139/W139)</f>
        <v/>
      </c>
      <c r="AD139" s="24" t="str">
        <f aca="false">IF(B139="","",MONTH(B139))</f>
        <v/>
      </c>
    </row>
    <row r="140" customFormat="false" ht="15" hidden="false" customHeight="false" outlineLevel="0" collapsed="false">
      <c r="B140" s="19"/>
      <c r="C140" s="20"/>
      <c r="D140" s="21"/>
      <c r="E140" s="20"/>
      <c r="F140" s="21"/>
      <c r="G140" s="21"/>
      <c r="H140" s="20"/>
      <c r="I140" s="21"/>
      <c r="J140" s="21"/>
      <c r="K140" s="21"/>
      <c r="L140" s="21"/>
      <c r="M140" s="21"/>
      <c r="N140" s="21"/>
      <c r="O140" s="21"/>
      <c r="P140" s="21"/>
      <c r="Q140" s="21"/>
      <c r="R140" s="21"/>
      <c r="S140" s="21"/>
      <c r="T140" s="21"/>
      <c r="U140" s="21"/>
      <c r="V140" s="21"/>
      <c r="W140" s="21"/>
      <c r="X140" s="22" t="str">
        <f aca="false">IF(OR(N140="",N140=0),"",M140/N140)</f>
        <v/>
      </c>
      <c r="Y140" s="22" t="str">
        <f aca="false">IF(OR(M140="",M140=0),"",O140/M140)</f>
        <v/>
      </c>
      <c r="Z140" s="22" t="str">
        <f aca="false">IF(OR(Q140="",Q140=0),"",P140/Q140)</f>
        <v/>
      </c>
      <c r="AA140" s="22" t="str">
        <f aca="false">IF(OR(S140="",S140=0),"",R140/S140)</f>
        <v/>
      </c>
      <c r="AB140" s="23" t="str">
        <f aca="false">IF(OR(T140="",U140=""),"",T140-U140)</f>
        <v/>
      </c>
      <c r="AC140" s="22" t="str">
        <f aca="false">IF(OR(W140="",W140=0),"",V140/W140)</f>
        <v/>
      </c>
      <c r="AD140" s="24" t="str">
        <f aca="false">IF(B140="","",MONTH(B140))</f>
        <v/>
      </c>
    </row>
    <row r="141" customFormat="false" ht="15" hidden="false" customHeight="false" outlineLevel="0" collapsed="false">
      <c r="B141" s="19"/>
      <c r="C141" s="20"/>
      <c r="D141" s="21"/>
      <c r="E141" s="20"/>
      <c r="F141" s="21"/>
      <c r="G141" s="21"/>
      <c r="H141" s="20"/>
      <c r="I141" s="21"/>
      <c r="J141" s="21"/>
      <c r="K141" s="21"/>
      <c r="L141" s="21"/>
      <c r="M141" s="21"/>
      <c r="N141" s="21"/>
      <c r="O141" s="21"/>
      <c r="P141" s="21"/>
      <c r="Q141" s="21"/>
      <c r="R141" s="21"/>
      <c r="S141" s="21"/>
      <c r="T141" s="21"/>
      <c r="U141" s="21"/>
      <c r="V141" s="21"/>
      <c r="W141" s="21"/>
      <c r="X141" s="22" t="str">
        <f aca="false">IF(OR(N141="",N141=0),"",M141/N141)</f>
        <v/>
      </c>
      <c r="Y141" s="22" t="str">
        <f aca="false">IF(OR(M141="",M141=0),"",O141/M141)</f>
        <v/>
      </c>
      <c r="Z141" s="22" t="str">
        <f aca="false">IF(OR(Q141="",Q141=0),"",P141/Q141)</f>
        <v/>
      </c>
      <c r="AA141" s="22" t="str">
        <f aca="false">IF(OR(S141="",S141=0),"",R141/S141)</f>
        <v/>
      </c>
      <c r="AB141" s="23" t="str">
        <f aca="false">IF(OR(T141="",U141=""),"",T141-U141)</f>
        <v/>
      </c>
      <c r="AC141" s="22" t="str">
        <f aca="false">IF(OR(W141="",W141=0),"",V141/W141)</f>
        <v/>
      </c>
      <c r="AD141" s="24" t="str">
        <f aca="false">IF(B141="","",MONTH(B141))</f>
        <v/>
      </c>
    </row>
    <row r="142" customFormat="false" ht="15" hidden="false" customHeight="false" outlineLevel="0" collapsed="false">
      <c r="B142" s="19"/>
      <c r="C142" s="20"/>
      <c r="D142" s="21"/>
      <c r="E142" s="20"/>
      <c r="F142" s="21"/>
      <c r="G142" s="21"/>
      <c r="H142" s="20"/>
      <c r="I142" s="21"/>
      <c r="J142" s="21"/>
      <c r="K142" s="21"/>
      <c r="L142" s="21"/>
      <c r="M142" s="21"/>
      <c r="N142" s="21"/>
      <c r="O142" s="21"/>
      <c r="P142" s="21"/>
      <c r="Q142" s="21"/>
      <c r="R142" s="21"/>
      <c r="S142" s="21"/>
      <c r="T142" s="21"/>
      <c r="U142" s="21"/>
      <c r="V142" s="21"/>
      <c r="W142" s="21"/>
      <c r="X142" s="22" t="str">
        <f aca="false">IF(OR(N142="",N142=0),"",M142/N142)</f>
        <v/>
      </c>
      <c r="Y142" s="22" t="str">
        <f aca="false">IF(OR(M142="",M142=0),"",O142/M142)</f>
        <v/>
      </c>
      <c r="Z142" s="22" t="str">
        <f aca="false">IF(OR(Q142="",Q142=0),"",P142/Q142)</f>
        <v/>
      </c>
      <c r="AA142" s="22" t="str">
        <f aca="false">IF(OR(S142="",S142=0),"",R142/S142)</f>
        <v/>
      </c>
      <c r="AB142" s="23" t="str">
        <f aca="false">IF(OR(T142="",U142=""),"",T142-U142)</f>
        <v/>
      </c>
      <c r="AC142" s="22" t="str">
        <f aca="false">IF(OR(W142="",W142=0),"",V142/W142)</f>
        <v/>
      </c>
      <c r="AD142" s="24" t="str">
        <f aca="false">IF(B142="","",MONTH(B142))</f>
        <v/>
      </c>
    </row>
    <row r="143" customFormat="false" ht="15" hidden="false" customHeight="false" outlineLevel="0" collapsed="false">
      <c r="B143" s="19"/>
      <c r="C143" s="20"/>
      <c r="D143" s="21"/>
      <c r="E143" s="20"/>
      <c r="F143" s="21"/>
      <c r="G143" s="21"/>
      <c r="H143" s="20"/>
      <c r="I143" s="21"/>
      <c r="J143" s="21"/>
      <c r="K143" s="21"/>
      <c r="L143" s="21"/>
      <c r="M143" s="21"/>
      <c r="N143" s="21"/>
      <c r="O143" s="21"/>
      <c r="P143" s="21"/>
      <c r="Q143" s="21"/>
      <c r="R143" s="21"/>
      <c r="S143" s="21"/>
      <c r="T143" s="21"/>
      <c r="U143" s="21"/>
      <c r="V143" s="21"/>
      <c r="W143" s="21"/>
      <c r="X143" s="22" t="str">
        <f aca="false">IF(OR(N143="",N143=0),"",M143/N143)</f>
        <v/>
      </c>
      <c r="Y143" s="22" t="str">
        <f aca="false">IF(OR(M143="",M143=0),"",O143/M143)</f>
        <v/>
      </c>
      <c r="Z143" s="22" t="str">
        <f aca="false">IF(OR(Q143="",Q143=0),"",P143/Q143)</f>
        <v/>
      </c>
      <c r="AA143" s="22" t="str">
        <f aca="false">IF(OR(S143="",S143=0),"",R143/S143)</f>
        <v/>
      </c>
      <c r="AB143" s="23" t="str">
        <f aca="false">IF(OR(T143="",U143=""),"",T143-U143)</f>
        <v/>
      </c>
      <c r="AC143" s="22" t="str">
        <f aca="false">IF(OR(W143="",W143=0),"",V143/W143)</f>
        <v/>
      </c>
      <c r="AD143" s="24" t="str">
        <f aca="false">IF(B143="","",MONTH(B143))</f>
        <v/>
      </c>
    </row>
    <row r="144" customFormat="false" ht="15" hidden="false" customHeight="false" outlineLevel="0" collapsed="false">
      <c r="B144" s="19"/>
      <c r="C144" s="20"/>
      <c r="D144" s="21"/>
      <c r="E144" s="20"/>
      <c r="F144" s="21"/>
      <c r="G144" s="21"/>
      <c r="H144" s="20"/>
      <c r="I144" s="21"/>
      <c r="J144" s="21"/>
      <c r="K144" s="21"/>
      <c r="L144" s="21"/>
      <c r="M144" s="21"/>
      <c r="N144" s="21"/>
      <c r="O144" s="21"/>
      <c r="P144" s="21"/>
      <c r="Q144" s="21"/>
      <c r="R144" s="21"/>
      <c r="S144" s="21"/>
      <c r="T144" s="21"/>
      <c r="U144" s="21"/>
      <c r="V144" s="21"/>
      <c r="W144" s="21"/>
      <c r="X144" s="22" t="str">
        <f aca="false">IF(OR(N144="",N144=0),"",M144/N144)</f>
        <v/>
      </c>
      <c r="Y144" s="22" t="str">
        <f aca="false">IF(OR(M144="",M144=0),"",O144/M144)</f>
        <v/>
      </c>
      <c r="Z144" s="22" t="str">
        <f aca="false">IF(OR(Q144="",Q144=0),"",P144/Q144)</f>
        <v/>
      </c>
      <c r="AA144" s="22" t="str">
        <f aca="false">IF(OR(S144="",S144=0),"",R144/S144)</f>
        <v/>
      </c>
      <c r="AB144" s="23" t="str">
        <f aca="false">IF(OR(T144="",U144=""),"",T144-U144)</f>
        <v/>
      </c>
      <c r="AC144" s="22" t="str">
        <f aca="false">IF(OR(W144="",W144=0),"",V144/W144)</f>
        <v/>
      </c>
      <c r="AD144" s="24" t="str">
        <f aca="false">IF(B144="","",MONTH(B144))</f>
        <v/>
      </c>
    </row>
    <row r="145" customFormat="false" ht="15" hidden="false" customHeight="false" outlineLevel="0" collapsed="false">
      <c r="B145" s="19"/>
      <c r="C145" s="20"/>
      <c r="D145" s="21"/>
      <c r="E145" s="20"/>
      <c r="F145" s="21"/>
      <c r="G145" s="21"/>
      <c r="H145" s="20"/>
      <c r="I145" s="21"/>
      <c r="J145" s="21"/>
      <c r="K145" s="21"/>
      <c r="L145" s="21"/>
      <c r="M145" s="21"/>
      <c r="N145" s="21"/>
      <c r="O145" s="21"/>
      <c r="P145" s="21"/>
      <c r="Q145" s="21"/>
      <c r="R145" s="21"/>
      <c r="S145" s="21"/>
      <c r="T145" s="21"/>
      <c r="U145" s="21"/>
      <c r="V145" s="21"/>
      <c r="W145" s="21"/>
      <c r="X145" s="22" t="str">
        <f aca="false">IF(OR(N145="",N145=0),"",M145/N145)</f>
        <v/>
      </c>
      <c r="Y145" s="22" t="str">
        <f aca="false">IF(OR(M145="",M145=0),"",O145/M145)</f>
        <v/>
      </c>
      <c r="Z145" s="22" t="str">
        <f aca="false">IF(OR(Q145="",Q145=0),"",P145/Q145)</f>
        <v/>
      </c>
      <c r="AA145" s="22" t="str">
        <f aca="false">IF(OR(S145="",S145=0),"",R145/S145)</f>
        <v/>
      </c>
      <c r="AB145" s="23" t="str">
        <f aca="false">IF(OR(T145="",U145=""),"",T145-U145)</f>
        <v/>
      </c>
      <c r="AC145" s="22" t="str">
        <f aca="false">IF(OR(W145="",W145=0),"",V145/W145)</f>
        <v/>
      </c>
      <c r="AD145" s="24" t="str">
        <f aca="false">IF(B145="","",MONTH(B145))</f>
        <v/>
      </c>
    </row>
    <row r="146" customFormat="false" ht="15" hidden="false" customHeight="false" outlineLevel="0" collapsed="false">
      <c r="B146" s="19"/>
      <c r="C146" s="20"/>
      <c r="D146" s="21"/>
      <c r="E146" s="20"/>
      <c r="F146" s="21"/>
      <c r="G146" s="21"/>
      <c r="H146" s="20"/>
      <c r="I146" s="21"/>
      <c r="J146" s="21"/>
      <c r="K146" s="21"/>
      <c r="L146" s="21"/>
      <c r="M146" s="21"/>
      <c r="N146" s="21"/>
      <c r="O146" s="21"/>
      <c r="P146" s="21"/>
      <c r="Q146" s="21"/>
      <c r="R146" s="21"/>
      <c r="S146" s="21"/>
      <c r="T146" s="21"/>
      <c r="U146" s="21"/>
      <c r="V146" s="21"/>
      <c r="W146" s="21"/>
      <c r="X146" s="22" t="str">
        <f aca="false">IF(OR(N146="",N146=0),"",M146/N146)</f>
        <v/>
      </c>
      <c r="Y146" s="22" t="str">
        <f aca="false">IF(OR(M146="",M146=0),"",O146/M146)</f>
        <v/>
      </c>
      <c r="Z146" s="22" t="str">
        <f aca="false">IF(OR(Q146="",Q146=0),"",P146/Q146)</f>
        <v/>
      </c>
      <c r="AA146" s="22" t="str">
        <f aca="false">IF(OR(S146="",S146=0),"",R146/S146)</f>
        <v/>
      </c>
      <c r="AB146" s="23" t="str">
        <f aca="false">IF(OR(T146="",U146=""),"",T146-U146)</f>
        <v/>
      </c>
      <c r="AC146" s="22" t="str">
        <f aca="false">IF(OR(W146="",W146=0),"",V146/W146)</f>
        <v/>
      </c>
      <c r="AD146" s="24" t="str">
        <f aca="false">IF(B146="","",MONTH(B146))</f>
        <v/>
      </c>
    </row>
    <row r="147" customFormat="false" ht="15" hidden="false" customHeight="false" outlineLevel="0" collapsed="false">
      <c r="B147" s="19"/>
      <c r="C147" s="20"/>
      <c r="D147" s="21"/>
      <c r="E147" s="20"/>
      <c r="F147" s="21"/>
      <c r="G147" s="21"/>
      <c r="H147" s="20"/>
      <c r="I147" s="21"/>
      <c r="J147" s="21"/>
      <c r="K147" s="21"/>
      <c r="L147" s="21"/>
      <c r="M147" s="21"/>
      <c r="N147" s="21"/>
      <c r="O147" s="21"/>
      <c r="P147" s="21"/>
      <c r="Q147" s="21"/>
      <c r="R147" s="21"/>
      <c r="S147" s="21"/>
      <c r="T147" s="21"/>
      <c r="U147" s="21"/>
      <c r="V147" s="21"/>
      <c r="W147" s="21"/>
      <c r="X147" s="22" t="str">
        <f aca="false">IF(OR(N147="",N147=0),"",M147/N147)</f>
        <v/>
      </c>
      <c r="Y147" s="22" t="str">
        <f aca="false">IF(OR(M147="",M147=0),"",O147/M147)</f>
        <v/>
      </c>
      <c r="Z147" s="22" t="str">
        <f aca="false">IF(OR(Q147="",Q147=0),"",P147/Q147)</f>
        <v/>
      </c>
      <c r="AA147" s="22" t="str">
        <f aca="false">IF(OR(S147="",S147=0),"",R147/S147)</f>
        <v/>
      </c>
      <c r="AB147" s="23" t="str">
        <f aca="false">IF(OR(T147="",U147=""),"",T147-U147)</f>
        <v/>
      </c>
      <c r="AC147" s="22" t="str">
        <f aca="false">IF(OR(W147="",W147=0),"",V147/W147)</f>
        <v/>
      </c>
      <c r="AD147" s="24" t="str">
        <f aca="false">IF(B147="","",MONTH(B147))</f>
        <v/>
      </c>
    </row>
    <row r="148" customFormat="false" ht="15" hidden="false" customHeight="false" outlineLevel="0" collapsed="false">
      <c r="B148" s="19"/>
      <c r="C148" s="20"/>
      <c r="D148" s="21"/>
      <c r="E148" s="20"/>
      <c r="F148" s="21"/>
      <c r="G148" s="21"/>
      <c r="H148" s="20"/>
      <c r="I148" s="21"/>
      <c r="J148" s="21"/>
      <c r="K148" s="21"/>
      <c r="L148" s="21"/>
      <c r="M148" s="21"/>
      <c r="N148" s="21"/>
      <c r="O148" s="21"/>
      <c r="P148" s="21"/>
      <c r="Q148" s="21"/>
      <c r="R148" s="21"/>
      <c r="S148" s="21"/>
      <c r="T148" s="21"/>
      <c r="U148" s="21"/>
      <c r="V148" s="21"/>
      <c r="W148" s="21"/>
      <c r="X148" s="22" t="str">
        <f aca="false">IF(OR(N148="",N148=0),"",M148/N148)</f>
        <v/>
      </c>
      <c r="Y148" s="22" t="str">
        <f aca="false">IF(OR(M148="",M148=0),"",O148/M148)</f>
        <v/>
      </c>
      <c r="Z148" s="22" t="str">
        <f aca="false">IF(OR(Q148="",Q148=0),"",P148/Q148)</f>
        <v/>
      </c>
      <c r="AA148" s="22" t="str">
        <f aca="false">IF(OR(S148="",S148=0),"",R148/S148)</f>
        <v/>
      </c>
      <c r="AB148" s="23" t="str">
        <f aca="false">IF(OR(T148="",U148=""),"",T148-U148)</f>
        <v/>
      </c>
      <c r="AC148" s="22" t="str">
        <f aca="false">IF(OR(W148="",W148=0),"",V148/W148)</f>
        <v/>
      </c>
      <c r="AD148" s="24" t="str">
        <f aca="false">IF(B148="","",MONTH(B148))</f>
        <v/>
      </c>
    </row>
    <row r="149" customFormat="false" ht="15" hidden="false" customHeight="false" outlineLevel="0" collapsed="false">
      <c r="B149" s="19"/>
      <c r="C149" s="20"/>
      <c r="D149" s="21"/>
      <c r="E149" s="20"/>
      <c r="F149" s="21"/>
      <c r="G149" s="21"/>
      <c r="H149" s="20"/>
      <c r="I149" s="21"/>
      <c r="J149" s="21"/>
      <c r="K149" s="21"/>
      <c r="L149" s="21"/>
      <c r="M149" s="21"/>
      <c r="N149" s="21"/>
      <c r="O149" s="21"/>
      <c r="P149" s="21"/>
      <c r="Q149" s="21"/>
      <c r="R149" s="21"/>
      <c r="S149" s="21"/>
      <c r="T149" s="21"/>
      <c r="U149" s="21"/>
      <c r="V149" s="21"/>
      <c r="W149" s="21"/>
      <c r="X149" s="22" t="str">
        <f aca="false">IF(OR(N149="",N149=0),"",M149/N149)</f>
        <v/>
      </c>
      <c r="Y149" s="22" t="str">
        <f aca="false">IF(OR(M149="",M149=0),"",O149/M149)</f>
        <v/>
      </c>
      <c r="Z149" s="22" t="str">
        <f aca="false">IF(OR(Q149="",Q149=0),"",P149/Q149)</f>
        <v/>
      </c>
      <c r="AA149" s="22" t="str">
        <f aca="false">IF(OR(S149="",S149=0),"",R149/S149)</f>
        <v/>
      </c>
      <c r="AB149" s="23" t="str">
        <f aca="false">IF(OR(T149="",U149=""),"",T149-U149)</f>
        <v/>
      </c>
      <c r="AC149" s="22" t="str">
        <f aca="false">IF(OR(W149="",W149=0),"",V149/W149)</f>
        <v/>
      </c>
      <c r="AD149" s="24" t="str">
        <f aca="false">IF(B149="","",MONTH(B149))</f>
        <v/>
      </c>
    </row>
    <row r="150" customFormat="false" ht="15" hidden="false" customHeight="false" outlineLevel="0" collapsed="false">
      <c r="B150" s="19"/>
      <c r="C150" s="20"/>
      <c r="D150" s="21"/>
      <c r="E150" s="20"/>
      <c r="F150" s="21"/>
      <c r="G150" s="21"/>
      <c r="H150" s="20"/>
      <c r="I150" s="21"/>
      <c r="J150" s="21"/>
      <c r="K150" s="21"/>
      <c r="L150" s="21"/>
      <c r="M150" s="21"/>
      <c r="N150" s="21"/>
      <c r="O150" s="21"/>
      <c r="P150" s="21"/>
      <c r="Q150" s="21"/>
      <c r="R150" s="21"/>
      <c r="S150" s="21"/>
      <c r="T150" s="21"/>
      <c r="U150" s="21"/>
      <c r="V150" s="21"/>
      <c r="W150" s="21"/>
      <c r="X150" s="22" t="str">
        <f aca="false">IF(OR(N150="",N150=0),"",M150/N150)</f>
        <v/>
      </c>
      <c r="Y150" s="22" t="str">
        <f aca="false">IF(OR(M150="",M150=0),"",O150/M150)</f>
        <v/>
      </c>
      <c r="Z150" s="22" t="str">
        <f aca="false">IF(OR(Q150="",Q150=0),"",P150/Q150)</f>
        <v/>
      </c>
      <c r="AA150" s="22" t="str">
        <f aca="false">IF(OR(S150="",S150=0),"",R150/S150)</f>
        <v/>
      </c>
      <c r="AB150" s="23" t="str">
        <f aca="false">IF(OR(T150="",U150=""),"",T150-U150)</f>
        <v/>
      </c>
      <c r="AC150" s="22" t="str">
        <f aca="false">IF(OR(W150="",W150=0),"",V150/W150)</f>
        <v/>
      </c>
      <c r="AD150" s="24" t="str">
        <f aca="false">IF(B150="","",MONTH(B150))</f>
        <v/>
      </c>
    </row>
    <row r="151" customFormat="false" ht="15" hidden="false" customHeight="false" outlineLevel="0" collapsed="false">
      <c r="B151" s="19"/>
      <c r="C151" s="20"/>
      <c r="D151" s="21"/>
      <c r="E151" s="20"/>
      <c r="F151" s="21"/>
      <c r="G151" s="21"/>
      <c r="H151" s="20"/>
      <c r="I151" s="21"/>
      <c r="J151" s="21"/>
      <c r="K151" s="21"/>
      <c r="L151" s="21"/>
      <c r="M151" s="21"/>
      <c r="N151" s="21"/>
      <c r="O151" s="21"/>
      <c r="P151" s="21"/>
      <c r="Q151" s="21"/>
      <c r="R151" s="21"/>
      <c r="S151" s="21"/>
      <c r="T151" s="21"/>
      <c r="U151" s="21"/>
      <c r="V151" s="21"/>
      <c r="W151" s="21"/>
      <c r="X151" s="22" t="str">
        <f aca="false">IF(OR(N151="",N151=0),"",M151/N151)</f>
        <v/>
      </c>
      <c r="Y151" s="22" t="str">
        <f aca="false">IF(OR(M151="",M151=0),"",O151/M151)</f>
        <v/>
      </c>
      <c r="Z151" s="22" t="str">
        <f aca="false">IF(OR(Q151="",Q151=0),"",P151/Q151)</f>
        <v/>
      </c>
      <c r="AA151" s="22" t="str">
        <f aca="false">IF(OR(S151="",S151=0),"",R151/S151)</f>
        <v/>
      </c>
      <c r="AB151" s="23" t="str">
        <f aca="false">IF(OR(T151="",U151=""),"",T151-U151)</f>
        <v/>
      </c>
      <c r="AC151" s="22" t="str">
        <f aca="false">IF(OR(W151="",W151=0),"",V151/W151)</f>
        <v/>
      </c>
      <c r="AD151" s="24" t="str">
        <f aca="false">IF(B151="","",MONTH(B151))</f>
        <v/>
      </c>
    </row>
    <row r="152" customFormat="false" ht="15" hidden="false" customHeight="false" outlineLevel="0" collapsed="false">
      <c r="B152" s="19"/>
      <c r="C152" s="20"/>
      <c r="D152" s="21"/>
      <c r="E152" s="20"/>
      <c r="F152" s="21"/>
      <c r="G152" s="21"/>
      <c r="H152" s="20"/>
      <c r="I152" s="21"/>
      <c r="J152" s="21"/>
      <c r="K152" s="21"/>
      <c r="L152" s="21"/>
      <c r="M152" s="21"/>
      <c r="N152" s="21"/>
      <c r="O152" s="21"/>
      <c r="P152" s="21"/>
      <c r="Q152" s="21"/>
      <c r="R152" s="21"/>
      <c r="S152" s="21"/>
      <c r="T152" s="21"/>
      <c r="U152" s="21"/>
      <c r="V152" s="21"/>
      <c r="W152" s="21"/>
      <c r="X152" s="22" t="str">
        <f aca="false">IF(OR(N152="",N152=0),"",M152/N152)</f>
        <v/>
      </c>
      <c r="Y152" s="22" t="str">
        <f aca="false">IF(OR(M152="",M152=0),"",O152/M152)</f>
        <v/>
      </c>
      <c r="Z152" s="22" t="str">
        <f aca="false">IF(OR(Q152="",Q152=0),"",P152/Q152)</f>
        <v/>
      </c>
      <c r="AA152" s="22" t="str">
        <f aca="false">IF(OR(S152="",S152=0),"",R152/S152)</f>
        <v/>
      </c>
      <c r="AB152" s="23" t="str">
        <f aca="false">IF(OR(T152="",U152=""),"",T152-U152)</f>
        <v/>
      </c>
      <c r="AC152" s="22" t="str">
        <f aca="false">IF(OR(W152="",W152=0),"",V152/W152)</f>
        <v/>
      </c>
      <c r="AD152" s="24" t="str">
        <f aca="false">IF(B152="","",MONTH(B152))</f>
        <v/>
      </c>
    </row>
    <row r="153" customFormat="false" ht="15" hidden="false" customHeight="false" outlineLevel="0" collapsed="false">
      <c r="B153" s="19"/>
      <c r="C153" s="20"/>
      <c r="D153" s="21"/>
      <c r="E153" s="20"/>
      <c r="F153" s="21"/>
      <c r="G153" s="21"/>
      <c r="H153" s="20"/>
      <c r="I153" s="21"/>
      <c r="J153" s="21"/>
      <c r="K153" s="21"/>
      <c r="L153" s="21"/>
      <c r="M153" s="21"/>
      <c r="N153" s="21"/>
      <c r="O153" s="21"/>
      <c r="P153" s="21"/>
      <c r="Q153" s="21"/>
      <c r="R153" s="21"/>
      <c r="S153" s="21"/>
      <c r="T153" s="21"/>
      <c r="U153" s="21"/>
      <c r="V153" s="21"/>
      <c r="W153" s="21"/>
      <c r="X153" s="22" t="str">
        <f aca="false">IF(OR(N153="",N153=0),"",M153/N153)</f>
        <v/>
      </c>
      <c r="Y153" s="22" t="str">
        <f aca="false">IF(OR(M153="",M153=0),"",O153/M153)</f>
        <v/>
      </c>
      <c r="Z153" s="22" t="str">
        <f aca="false">IF(OR(Q153="",Q153=0),"",P153/Q153)</f>
        <v/>
      </c>
      <c r="AA153" s="22" t="str">
        <f aca="false">IF(OR(S153="",S153=0),"",R153/S153)</f>
        <v/>
      </c>
      <c r="AB153" s="23" t="str">
        <f aca="false">IF(OR(T153="",U153=""),"",T153-U153)</f>
        <v/>
      </c>
      <c r="AC153" s="22" t="str">
        <f aca="false">IF(OR(W153="",W153=0),"",V153/W153)</f>
        <v/>
      </c>
      <c r="AD153" s="24" t="str">
        <f aca="false">IF(B153="","",MONTH(B153))</f>
        <v/>
      </c>
    </row>
    <row r="154" customFormat="false" ht="15" hidden="false" customHeight="false" outlineLevel="0" collapsed="false">
      <c r="B154" s="19"/>
      <c r="C154" s="20"/>
      <c r="D154" s="21"/>
      <c r="E154" s="20"/>
      <c r="F154" s="21"/>
      <c r="G154" s="21"/>
      <c r="H154" s="20"/>
      <c r="I154" s="21"/>
      <c r="J154" s="21"/>
      <c r="K154" s="21"/>
      <c r="L154" s="21"/>
      <c r="M154" s="21"/>
      <c r="N154" s="21"/>
      <c r="O154" s="21"/>
      <c r="P154" s="21"/>
      <c r="Q154" s="21"/>
      <c r="R154" s="21"/>
      <c r="S154" s="21"/>
      <c r="T154" s="21"/>
      <c r="U154" s="21"/>
      <c r="V154" s="21"/>
      <c r="W154" s="21"/>
      <c r="X154" s="22" t="str">
        <f aca="false">IF(OR(N154="",N154=0),"",M154/N154)</f>
        <v/>
      </c>
      <c r="Y154" s="22" t="str">
        <f aca="false">IF(OR(M154="",M154=0),"",O154/M154)</f>
        <v/>
      </c>
      <c r="Z154" s="22" t="str">
        <f aca="false">IF(OR(Q154="",Q154=0),"",P154/Q154)</f>
        <v/>
      </c>
      <c r="AA154" s="22" t="str">
        <f aca="false">IF(OR(S154="",S154=0),"",R154/S154)</f>
        <v/>
      </c>
      <c r="AB154" s="23" t="str">
        <f aca="false">IF(OR(T154="",U154=""),"",T154-U154)</f>
        <v/>
      </c>
      <c r="AC154" s="22" t="str">
        <f aca="false">IF(OR(W154="",W154=0),"",V154/W154)</f>
        <v/>
      </c>
      <c r="AD154" s="24" t="str">
        <f aca="false">IF(B154="","",MONTH(B154))</f>
        <v/>
      </c>
    </row>
    <row r="155" customFormat="false" ht="15" hidden="false" customHeight="false" outlineLevel="0" collapsed="false">
      <c r="B155" s="19"/>
      <c r="C155" s="20"/>
      <c r="D155" s="21"/>
      <c r="E155" s="20"/>
      <c r="F155" s="21"/>
      <c r="G155" s="21"/>
      <c r="H155" s="20"/>
      <c r="I155" s="21"/>
      <c r="J155" s="21"/>
      <c r="K155" s="21"/>
      <c r="L155" s="21"/>
      <c r="M155" s="21"/>
      <c r="N155" s="21"/>
      <c r="O155" s="21"/>
      <c r="P155" s="21"/>
      <c r="Q155" s="21"/>
      <c r="R155" s="21"/>
      <c r="S155" s="21"/>
      <c r="T155" s="21"/>
      <c r="U155" s="21"/>
      <c r="V155" s="21"/>
      <c r="W155" s="21"/>
      <c r="X155" s="22" t="str">
        <f aca="false">IF(OR(N155="",N155=0),"",M155/N155)</f>
        <v/>
      </c>
      <c r="Y155" s="22" t="str">
        <f aca="false">IF(OR(M155="",M155=0),"",O155/M155)</f>
        <v/>
      </c>
      <c r="Z155" s="22" t="str">
        <f aca="false">IF(OR(Q155="",Q155=0),"",P155/Q155)</f>
        <v/>
      </c>
      <c r="AA155" s="22" t="str">
        <f aca="false">IF(OR(S155="",S155=0),"",R155/S155)</f>
        <v/>
      </c>
      <c r="AB155" s="23" t="str">
        <f aca="false">IF(OR(T155="",U155=""),"",T155-U155)</f>
        <v/>
      </c>
      <c r="AC155" s="22" t="str">
        <f aca="false">IF(OR(W155="",W155=0),"",V155/W155)</f>
        <v/>
      </c>
      <c r="AD155" s="24" t="str">
        <f aca="false">IF(B155="","",MONTH(B155))</f>
        <v/>
      </c>
    </row>
  </sheetData>
  <conditionalFormatting sqref="G6:G155">
    <cfRule type="cellIs" priority="2" operator="equal" aboveAverage="0" equalAverage="0" bottom="0" percent="0" rank="0" text="" dxfId="1">
      <formula>"W"</formula>
    </cfRule>
    <cfRule type="cellIs" priority="3" operator="equal" aboveAverage="0" equalAverage="0" bottom="0" percent="0" rank="0" text="" dxfId="2">
      <formula>"L"</formula>
    </cfRule>
  </conditionalFormatting>
  <dataValidations count="2">
    <dataValidation allowBlank="true" errorStyle="stop" operator="between" showDropDown="false" showErrorMessage="false" showInputMessage="false" sqref="F6:F155" type="list">
      <formula1>"Hard,Clay,Grass,Indoor"</formula1>
      <formula2>0</formula2>
    </dataValidation>
    <dataValidation allowBlank="true" errorStyle="stop" operator="between" showDropDown="false" showErrorMessage="false" showInputMessage="false" sqref="G6:G155" type="list">
      <formula1>"W,L"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0"/>
    <col collapsed="false" customWidth="true" hidden="false" outlineLevel="0" max="6" min="6" style="0" width="11"/>
    <col collapsed="false" customWidth="true" hidden="false" outlineLevel="0" max="7" min="7" style="0" width="15"/>
  </cols>
  <sheetData>
    <row r="2" customFormat="false" ht="33.75" hidden="false" customHeight="true" outlineLevel="0" collapsed="false">
      <c r="B2" s="1" t="s">
        <v>135</v>
      </c>
    </row>
    <row r="3" customFormat="false" ht="15" hidden="false" customHeight="false" outlineLevel="0" collapsed="false">
      <c r="B3" s="2" t="s">
        <v>136</v>
      </c>
    </row>
    <row r="4" customFormat="false" ht="15" hidden="false" customHeight="false" outlineLevel="0" collapsed="false">
      <c r="B4" s="3"/>
      <c r="C4" s="3"/>
      <c r="D4" s="3"/>
      <c r="E4" s="3"/>
      <c r="F4" s="3"/>
      <c r="G4" s="3"/>
    </row>
    <row r="5" customFormat="false" ht="27.75" hidden="false" customHeight="true" outlineLevel="0" collapsed="false">
      <c r="B5" s="14" t="s">
        <v>72</v>
      </c>
      <c r="C5" s="14" t="s">
        <v>40</v>
      </c>
      <c r="D5" s="14" t="s">
        <v>41</v>
      </c>
      <c r="E5" s="14" t="s">
        <v>137</v>
      </c>
      <c r="F5" s="14" t="s">
        <v>42</v>
      </c>
      <c r="G5" s="14" t="s">
        <v>138</v>
      </c>
    </row>
    <row r="6" customFormat="false" ht="15" hidden="false" customHeight="false" outlineLevel="0" collapsed="false">
      <c r="B6" s="25" t="s">
        <v>121</v>
      </c>
      <c r="C6" s="26" t="n">
        <f aca="false">IF(B6="","",COUNTIF('Match Log'!$E$6:$E$155,B6))</f>
        <v>2</v>
      </c>
      <c r="D6" s="26" t="n">
        <f aca="false">IF(B6="","",COUNTIFS('Match Log'!$E$6:$E$155,B6,'Match Log'!$G$6:$G$155,"W"))</f>
        <v>1</v>
      </c>
      <c r="E6" s="26" t="n">
        <f aca="false">IF(B6="","",COUNTIFS('Match Log'!$E$6:$E$155,B6,'Match Log'!$G$6:$G$155,"L"))</f>
        <v>1</v>
      </c>
      <c r="F6" s="22" t="n">
        <f aca="false">IF(OR(B6="",C6=0),"",D6/C6)</f>
        <v>0.5</v>
      </c>
      <c r="G6" s="27" t="n">
        <f aca="false">IF(OR(B6="",C6=0),"",_xlfn.MAXIFS('Match Log'!$B$6:$B$155,'Match Log'!$E$6:$E$155,B6))</f>
        <v>46256</v>
      </c>
    </row>
    <row r="7" customFormat="false" ht="15" hidden="false" customHeight="false" outlineLevel="0" collapsed="false">
      <c r="B7" s="25" t="s">
        <v>117</v>
      </c>
      <c r="C7" s="26" t="n">
        <f aca="false">IF(B7="","",COUNTIF('Match Log'!$E$6:$E$155,B7))</f>
        <v>2</v>
      </c>
      <c r="D7" s="26" t="n">
        <f aca="false">IF(B7="","",COUNTIFS('Match Log'!$E$6:$E$155,B7,'Match Log'!$G$6:$G$155,"W"))</f>
        <v>2</v>
      </c>
      <c r="E7" s="26" t="n">
        <f aca="false">IF(B7="","",COUNTIFS('Match Log'!$E$6:$E$155,B7,'Match Log'!$G$6:$G$155,"L"))</f>
        <v>0</v>
      </c>
      <c r="F7" s="22" t="n">
        <f aca="false">IF(OR(B7="",C7=0),"",D7/C7)</f>
        <v>1</v>
      </c>
      <c r="G7" s="27" t="n">
        <f aca="false">IF(OR(B7="",C7=0),"",_xlfn.MAXIFS('Match Log'!$B$6:$B$155,'Match Log'!$E$6:$E$155,B7))</f>
        <v>46284</v>
      </c>
    </row>
    <row r="8" customFormat="false" ht="15" hidden="false" customHeight="false" outlineLevel="0" collapsed="false">
      <c r="B8" s="25" t="s">
        <v>98</v>
      </c>
      <c r="C8" s="26" t="n">
        <f aca="false">IF(B8="","",COUNTIF('Match Log'!$E$6:$E$155,B8))</f>
        <v>2</v>
      </c>
      <c r="D8" s="26" t="n">
        <f aca="false">IF(B8="","",COUNTIFS('Match Log'!$E$6:$E$155,B8,'Match Log'!$G$6:$G$155,"W"))</f>
        <v>2</v>
      </c>
      <c r="E8" s="26" t="n">
        <f aca="false">IF(B8="","",COUNTIFS('Match Log'!$E$6:$E$155,B8,'Match Log'!$G$6:$G$155,"L"))</f>
        <v>0</v>
      </c>
      <c r="F8" s="22" t="n">
        <f aca="false">IF(OR(B8="",C8=0),"",D8/C8)</f>
        <v>1</v>
      </c>
      <c r="G8" s="27" t="n">
        <f aca="false">IF(OR(B8="",C8=0),"",_xlfn.MAXIFS('Match Log'!$B$6:$B$155,'Match Log'!$E$6:$E$155,B8))</f>
        <v>46137</v>
      </c>
    </row>
    <row r="9" customFormat="false" ht="15" hidden="false" customHeight="false" outlineLevel="0" collapsed="false">
      <c r="B9" s="25" t="s">
        <v>110</v>
      </c>
      <c r="C9" s="26" t="n">
        <f aca="false">IF(B9="","",COUNTIF('Match Log'!$E$6:$E$155,B9))</f>
        <v>2</v>
      </c>
      <c r="D9" s="26" t="n">
        <f aca="false">IF(B9="","",COUNTIFS('Match Log'!$E$6:$E$155,B9,'Match Log'!$G$6:$G$155,"W"))</f>
        <v>2</v>
      </c>
      <c r="E9" s="26" t="n">
        <f aca="false">IF(B9="","",COUNTIFS('Match Log'!$E$6:$E$155,B9,'Match Log'!$G$6:$G$155,"L"))</f>
        <v>0</v>
      </c>
      <c r="F9" s="22" t="n">
        <f aca="false">IF(OR(B9="",C9=0),"",D9/C9)</f>
        <v>1</v>
      </c>
      <c r="G9" s="27" t="n">
        <f aca="false">IF(OR(B9="",C9=0),"",_xlfn.MAXIFS('Match Log'!$B$6:$B$155,'Match Log'!$E$6:$E$155,B9))</f>
        <v>46214</v>
      </c>
    </row>
    <row r="10" customFormat="false" ht="15" hidden="false" customHeight="false" outlineLevel="0" collapsed="false">
      <c r="B10" s="25" t="s">
        <v>102</v>
      </c>
      <c r="C10" s="26" t="n">
        <f aca="false">IF(B10="","",COUNTIF('Match Log'!$E$6:$E$155,B10))</f>
        <v>3</v>
      </c>
      <c r="D10" s="26" t="n">
        <f aca="false">IF(B10="","",COUNTIFS('Match Log'!$E$6:$E$155,B10,'Match Log'!$G$6:$G$155,"W"))</f>
        <v>2</v>
      </c>
      <c r="E10" s="26" t="n">
        <f aca="false">IF(B10="","",COUNTIFS('Match Log'!$E$6:$E$155,B10,'Match Log'!$G$6:$G$155,"L"))</f>
        <v>1</v>
      </c>
      <c r="F10" s="22" t="n">
        <f aca="false">IF(OR(B10="",C10=0),"",D10/C10)</f>
        <v>0.666666666666667</v>
      </c>
      <c r="G10" s="27" t="n">
        <f aca="false">IF(OR(B10="",C10=0),"",_xlfn.MAXIFS('Match Log'!$B$6:$B$155,'Match Log'!$E$6:$E$155,B10))</f>
        <v>46305</v>
      </c>
    </row>
    <row r="11" customFormat="false" ht="15" hidden="false" customHeight="false" outlineLevel="0" collapsed="false">
      <c r="B11" s="25" t="s">
        <v>113</v>
      </c>
      <c r="C11" s="26" t="n">
        <f aca="false">IF(B11="","",COUNTIF('Match Log'!$E$6:$E$155,B11))</f>
        <v>2</v>
      </c>
      <c r="D11" s="26" t="n">
        <f aca="false">IF(B11="","",COUNTIFS('Match Log'!$E$6:$E$155,B11,'Match Log'!$G$6:$G$155,"W"))</f>
        <v>0</v>
      </c>
      <c r="E11" s="26" t="n">
        <f aca="false">IF(B11="","",COUNTIFS('Match Log'!$E$6:$E$155,B11,'Match Log'!$G$6:$G$155,"L"))</f>
        <v>2</v>
      </c>
      <c r="F11" s="22" t="n">
        <f aca="false">IF(OR(B11="",C11=0),"",D11/C11)</f>
        <v>0</v>
      </c>
      <c r="G11" s="27" t="n">
        <f aca="false">IF(OR(B11="",C11=0),"",_xlfn.MAXIFS('Match Log'!$B$6:$B$155,'Match Log'!$E$6:$E$155,B11))</f>
        <v>46188</v>
      </c>
    </row>
    <row r="12" customFormat="false" ht="15" hidden="false" customHeight="false" outlineLevel="0" collapsed="false">
      <c r="B12" s="25" t="s">
        <v>107</v>
      </c>
      <c r="C12" s="26" t="n">
        <f aca="false">IF(B12="","",COUNTIF('Match Log'!$E$6:$E$155,B12))</f>
        <v>2</v>
      </c>
      <c r="D12" s="26" t="n">
        <f aca="false">IF(B12="","",COUNTIFS('Match Log'!$E$6:$E$155,B12,'Match Log'!$G$6:$G$155,"W"))</f>
        <v>2</v>
      </c>
      <c r="E12" s="26" t="n">
        <f aca="false">IF(B12="","",COUNTIFS('Match Log'!$E$6:$E$155,B12,'Match Log'!$G$6:$G$155,"L"))</f>
        <v>0</v>
      </c>
      <c r="F12" s="22" t="n">
        <f aca="false">IF(OR(B12="",C12=0),"",D12/C12)</f>
        <v>1</v>
      </c>
      <c r="G12" s="27" t="n">
        <f aca="false">IF(OR(B12="",C12=0),"",_xlfn.MAXIFS('Match Log'!$B$6:$B$155,'Match Log'!$E$6:$E$155,B12))</f>
        <v>46187</v>
      </c>
    </row>
    <row r="13" customFormat="false" ht="15" hidden="false" customHeight="false" outlineLevel="0" collapsed="false">
      <c r="B13" s="25" t="s">
        <v>124</v>
      </c>
      <c r="C13" s="26" t="n">
        <f aca="false">IF(B13="","",COUNTIF('Match Log'!$E$6:$E$155,B13))</f>
        <v>1</v>
      </c>
      <c r="D13" s="26" t="n">
        <f aca="false">IF(B13="","",COUNTIFS('Match Log'!$E$6:$E$155,B13,'Match Log'!$G$6:$G$155,"W"))</f>
        <v>1</v>
      </c>
      <c r="E13" s="26" t="n">
        <f aca="false">IF(B13="","",COUNTIFS('Match Log'!$E$6:$E$155,B13,'Match Log'!$G$6:$G$155,"L"))</f>
        <v>0</v>
      </c>
      <c r="F13" s="22" t="n">
        <f aca="false">IF(OR(B13="",C13=0),"",D13/C13)</f>
        <v>1</v>
      </c>
      <c r="G13" s="27" t="n">
        <f aca="false">IF(OR(B13="",C13=0),"",_xlfn.MAXIFS('Match Log'!$B$6:$B$155,'Match Log'!$E$6:$E$155,B13))</f>
        <v>46186</v>
      </c>
    </row>
    <row r="14" customFormat="false" ht="15" hidden="false" customHeight="false" outlineLevel="0" collapsed="false">
      <c r="B14" s="25"/>
      <c r="C14" s="26" t="str">
        <f aca="false">IF(B14="","",COUNTIF('Match Log'!$E$6:$E$155,B14))</f>
        <v/>
      </c>
      <c r="D14" s="26" t="str">
        <f aca="false">IF(B14="","",COUNTIFS('Match Log'!$E$6:$E$155,B14,'Match Log'!$G$6:$G$155,"W"))</f>
        <v/>
      </c>
      <c r="E14" s="26" t="str">
        <f aca="false">IF(B14="","",COUNTIFS('Match Log'!$E$6:$E$155,B14,'Match Log'!$G$6:$G$155,"L"))</f>
        <v/>
      </c>
      <c r="F14" s="22" t="str">
        <f aca="false">IF(OR(B14="",C14=0),"",D14/C14)</f>
        <v/>
      </c>
      <c r="G14" s="27" t="str">
        <f aca="false">IF(OR(B14="",C14=0),"",_xlfn.MAXIFS('Match Log'!$B$6:$B$155,'Match Log'!$E$6:$E$155,B14))</f>
        <v/>
      </c>
    </row>
    <row r="15" customFormat="false" ht="15" hidden="false" customHeight="false" outlineLevel="0" collapsed="false">
      <c r="B15" s="25"/>
      <c r="C15" s="26" t="str">
        <f aca="false">IF(B15="","",COUNTIF('Match Log'!$E$6:$E$155,B15))</f>
        <v/>
      </c>
      <c r="D15" s="26" t="str">
        <f aca="false">IF(B15="","",COUNTIFS('Match Log'!$E$6:$E$155,B15,'Match Log'!$G$6:$G$155,"W"))</f>
        <v/>
      </c>
      <c r="E15" s="26" t="str">
        <f aca="false">IF(B15="","",COUNTIFS('Match Log'!$E$6:$E$155,B15,'Match Log'!$G$6:$G$155,"L"))</f>
        <v/>
      </c>
      <c r="F15" s="22" t="str">
        <f aca="false">IF(OR(B15="",C15=0),"",D15/C15)</f>
        <v/>
      </c>
      <c r="G15" s="27" t="str">
        <f aca="false">IF(OR(B15="",C15=0),"",_xlfn.MAXIFS('Match Log'!$B$6:$B$155,'Match Log'!$E$6:$E$155,B15))</f>
        <v/>
      </c>
    </row>
    <row r="16" customFormat="false" ht="15" hidden="false" customHeight="false" outlineLevel="0" collapsed="false">
      <c r="B16" s="25"/>
      <c r="C16" s="26" t="str">
        <f aca="false">IF(B16="","",COUNTIF('Match Log'!$E$6:$E$155,B16))</f>
        <v/>
      </c>
      <c r="D16" s="26" t="str">
        <f aca="false">IF(B16="","",COUNTIFS('Match Log'!$E$6:$E$155,B16,'Match Log'!$G$6:$G$155,"W"))</f>
        <v/>
      </c>
      <c r="E16" s="26" t="str">
        <f aca="false">IF(B16="","",COUNTIFS('Match Log'!$E$6:$E$155,B16,'Match Log'!$G$6:$G$155,"L"))</f>
        <v/>
      </c>
      <c r="F16" s="22" t="str">
        <f aca="false">IF(OR(B16="",C16=0),"",D16/C16)</f>
        <v/>
      </c>
      <c r="G16" s="27" t="str">
        <f aca="false">IF(OR(B16="",C16=0),"",_xlfn.MAXIFS('Match Log'!$B$6:$B$155,'Match Log'!$E$6:$E$155,B16))</f>
        <v/>
      </c>
    </row>
    <row r="17" customFormat="false" ht="15" hidden="false" customHeight="false" outlineLevel="0" collapsed="false">
      <c r="B17" s="25"/>
      <c r="C17" s="26" t="str">
        <f aca="false">IF(B17="","",COUNTIF('Match Log'!$E$6:$E$155,B17))</f>
        <v/>
      </c>
      <c r="D17" s="26" t="str">
        <f aca="false">IF(B17="","",COUNTIFS('Match Log'!$E$6:$E$155,B17,'Match Log'!$G$6:$G$155,"W"))</f>
        <v/>
      </c>
      <c r="E17" s="26" t="str">
        <f aca="false">IF(B17="","",COUNTIFS('Match Log'!$E$6:$E$155,B17,'Match Log'!$G$6:$G$155,"L"))</f>
        <v/>
      </c>
      <c r="F17" s="22" t="str">
        <f aca="false">IF(OR(B17="",C17=0),"",D17/C17)</f>
        <v/>
      </c>
      <c r="G17" s="27" t="str">
        <f aca="false">IF(OR(B17="",C17=0),"",_xlfn.MAXIFS('Match Log'!$B$6:$B$155,'Match Log'!$E$6:$E$155,B17))</f>
        <v/>
      </c>
    </row>
    <row r="18" customFormat="false" ht="15" hidden="false" customHeight="false" outlineLevel="0" collapsed="false">
      <c r="B18" s="25"/>
      <c r="C18" s="26" t="str">
        <f aca="false">IF(B18="","",COUNTIF('Match Log'!$E$6:$E$155,B18))</f>
        <v/>
      </c>
      <c r="D18" s="26" t="str">
        <f aca="false">IF(B18="","",COUNTIFS('Match Log'!$E$6:$E$155,B18,'Match Log'!$G$6:$G$155,"W"))</f>
        <v/>
      </c>
      <c r="E18" s="26" t="str">
        <f aca="false">IF(B18="","",COUNTIFS('Match Log'!$E$6:$E$155,B18,'Match Log'!$G$6:$G$155,"L"))</f>
        <v/>
      </c>
      <c r="F18" s="22" t="str">
        <f aca="false">IF(OR(B18="",C18=0),"",D18/C18)</f>
        <v/>
      </c>
      <c r="G18" s="27" t="str">
        <f aca="false">IF(OR(B18="",C18=0),"",_xlfn.MAXIFS('Match Log'!$B$6:$B$155,'Match Log'!$E$6:$E$155,B18))</f>
        <v/>
      </c>
    </row>
    <row r="19" customFormat="false" ht="15" hidden="false" customHeight="false" outlineLevel="0" collapsed="false">
      <c r="B19" s="25"/>
      <c r="C19" s="26" t="str">
        <f aca="false">IF(B19="","",COUNTIF('Match Log'!$E$6:$E$155,B19))</f>
        <v/>
      </c>
      <c r="D19" s="26" t="str">
        <f aca="false">IF(B19="","",COUNTIFS('Match Log'!$E$6:$E$155,B19,'Match Log'!$G$6:$G$155,"W"))</f>
        <v/>
      </c>
      <c r="E19" s="26" t="str">
        <f aca="false">IF(B19="","",COUNTIFS('Match Log'!$E$6:$E$155,B19,'Match Log'!$G$6:$G$155,"L"))</f>
        <v/>
      </c>
      <c r="F19" s="22" t="str">
        <f aca="false">IF(OR(B19="",C19=0),"",D19/C19)</f>
        <v/>
      </c>
      <c r="G19" s="27" t="str">
        <f aca="false">IF(OR(B19="",C19=0),"",_xlfn.MAXIFS('Match Log'!$B$6:$B$155,'Match Log'!$E$6:$E$155,B19))</f>
        <v/>
      </c>
    </row>
    <row r="20" customFormat="false" ht="15" hidden="false" customHeight="false" outlineLevel="0" collapsed="false">
      <c r="B20" s="25"/>
      <c r="C20" s="26" t="str">
        <f aca="false">IF(B20="","",COUNTIF('Match Log'!$E$6:$E$155,B20))</f>
        <v/>
      </c>
      <c r="D20" s="26" t="str">
        <f aca="false">IF(B20="","",COUNTIFS('Match Log'!$E$6:$E$155,B20,'Match Log'!$G$6:$G$155,"W"))</f>
        <v/>
      </c>
      <c r="E20" s="26" t="str">
        <f aca="false">IF(B20="","",COUNTIFS('Match Log'!$E$6:$E$155,B20,'Match Log'!$G$6:$G$155,"L"))</f>
        <v/>
      </c>
      <c r="F20" s="22" t="str">
        <f aca="false">IF(OR(B20="",C20=0),"",D20/C20)</f>
        <v/>
      </c>
      <c r="G20" s="27" t="str">
        <f aca="false">IF(OR(B20="",C20=0),"",_xlfn.MAXIFS('Match Log'!$B$6:$B$155,'Match Log'!$E$6:$E$155,B20))</f>
        <v/>
      </c>
    </row>
    <row r="21" customFormat="false" ht="15" hidden="false" customHeight="false" outlineLevel="0" collapsed="false">
      <c r="B21" s="25"/>
      <c r="C21" s="26" t="str">
        <f aca="false">IF(B21="","",COUNTIF('Match Log'!$E$6:$E$155,B21))</f>
        <v/>
      </c>
      <c r="D21" s="26" t="str">
        <f aca="false">IF(B21="","",COUNTIFS('Match Log'!$E$6:$E$155,B21,'Match Log'!$G$6:$G$155,"W"))</f>
        <v/>
      </c>
      <c r="E21" s="26" t="str">
        <f aca="false">IF(B21="","",COUNTIFS('Match Log'!$E$6:$E$155,B21,'Match Log'!$G$6:$G$155,"L"))</f>
        <v/>
      </c>
      <c r="F21" s="22" t="str">
        <f aca="false">IF(OR(B21="",C21=0),"",D21/C21)</f>
        <v/>
      </c>
      <c r="G21" s="27" t="str">
        <f aca="false">IF(OR(B21="",C21=0),"",_xlfn.MAXIFS('Match Log'!$B$6:$B$155,'Match Log'!$E$6:$E$155,B21))</f>
        <v/>
      </c>
    </row>
    <row r="22" customFormat="false" ht="15" hidden="false" customHeight="false" outlineLevel="0" collapsed="false">
      <c r="B22" s="25"/>
      <c r="C22" s="26" t="str">
        <f aca="false">IF(B22="","",COUNTIF('Match Log'!$E$6:$E$155,B22))</f>
        <v/>
      </c>
      <c r="D22" s="26" t="str">
        <f aca="false">IF(B22="","",COUNTIFS('Match Log'!$E$6:$E$155,B22,'Match Log'!$G$6:$G$155,"W"))</f>
        <v/>
      </c>
      <c r="E22" s="26" t="str">
        <f aca="false">IF(B22="","",COUNTIFS('Match Log'!$E$6:$E$155,B22,'Match Log'!$G$6:$G$155,"L"))</f>
        <v/>
      </c>
      <c r="F22" s="22" t="str">
        <f aca="false">IF(OR(B22="",C22=0),"",D22/C22)</f>
        <v/>
      </c>
      <c r="G22" s="27" t="str">
        <f aca="false">IF(OR(B22="",C22=0),"",_xlfn.MAXIFS('Match Log'!$B$6:$B$155,'Match Log'!$E$6:$E$155,B22))</f>
        <v/>
      </c>
    </row>
    <row r="23" customFormat="false" ht="15" hidden="false" customHeight="false" outlineLevel="0" collapsed="false">
      <c r="B23" s="25"/>
      <c r="C23" s="26" t="str">
        <f aca="false">IF(B23="","",COUNTIF('Match Log'!$E$6:$E$155,B23))</f>
        <v/>
      </c>
      <c r="D23" s="26" t="str">
        <f aca="false">IF(B23="","",COUNTIFS('Match Log'!$E$6:$E$155,B23,'Match Log'!$G$6:$G$155,"W"))</f>
        <v/>
      </c>
      <c r="E23" s="26" t="str">
        <f aca="false">IF(B23="","",COUNTIFS('Match Log'!$E$6:$E$155,B23,'Match Log'!$G$6:$G$155,"L"))</f>
        <v/>
      </c>
      <c r="F23" s="22" t="str">
        <f aca="false">IF(OR(B23="",C23=0),"",D23/C23)</f>
        <v/>
      </c>
      <c r="G23" s="27" t="str">
        <f aca="false">IF(OR(B23="",C23=0),"",_xlfn.MAXIFS('Match Log'!$B$6:$B$155,'Match Log'!$E$6:$E$155,B23))</f>
        <v/>
      </c>
    </row>
    <row r="24" customFormat="false" ht="15" hidden="false" customHeight="false" outlineLevel="0" collapsed="false">
      <c r="B24" s="25"/>
      <c r="C24" s="26" t="str">
        <f aca="false">IF(B24="","",COUNTIF('Match Log'!$E$6:$E$155,B24))</f>
        <v/>
      </c>
      <c r="D24" s="26" t="str">
        <f aca="false">IF(B24="","",COUNTIFS('Match Log'!$E$6:$E$155,B24,'Match Log'!$G$6:$G$155,"W"))</f>
        <v/>
      </c>
      <c r="E24" s="26" t="str">
        <f aca="false">IF(B24="","",COUNTIFS('Match Log'!$E$6:$E$155,B24,'Match Log'!$G$6:$G$155,"L"))</f>
        <v/>
      </c>
      <c r="F24" s="22" t="str">
        <f aca="false">IF(OR(B24="",C24=0),"",D24/C24)</f>
        <v/>
      </c>
      <c r="G24" s="27" t="str">
        <f aca="false">IF(OR(B24="",C24=0),"",_xlfn.MAXIFS('Match Log'!$B$6:$B$155,'Match Log'!$E$6:$E$155,B24))</f>
        <v/>
      </c>
    </row>
    <row r="25" customFormat="false" ht="15" hidden="false" customHeight="false" outlineLevel="0" collapsed="false">
      <c r="B25" s="25"/>
      <c r="C25" s="26" t="str">
        <f aca="false">IF(B25="","",COUNTIF('Match Log'!$E$6:$E$155,B25))</f>
        <v/>
      </c>
      <c r="D25" s="26" t="str">
        <f aca="false">IF(B25="","",COUNTIFS('Match Log'!$E$6:$E$155,B25,'Match Log'!$G$6:$G$155,"W"))</f>
        <v/>
      </c>
      <c r="E25" s="26" t="str">
        <f aca="false">IF(B25="","",COUNTIFS('Match Log'!$E$6:$E$155,B25,'Match Log'!$G$6:$G$155,"L"))</f>
        <v/>
      </c>
      <c r="F25" s="22" t="str">
        <f aca="false">IF(OR(B25="",C25=0),"",D25/C25)</f>
        <v/>
      </c>
      <c r="G25" s="27" t="str">
        <f aca="false">IF(OR(B25="",C25=0),"",_xlfn.MAXIFS('Match Log'!$B$6:$B$155,'Match Log'!$E$6:$E$155,B25))</f>
        <v/>
      </c>
    </row>
    <row r="26" customFormat="false" ht="15" hidden="false" customHeight="false" outlineLevel="0" collapsed="false">
      <c r="B26" s="25"/>
      <c r="C26" s="26" t="str">
        <f aca="false">IF(B26="","",COUNTIF('Match Log'!$E$6:$E$155,B26))</f>
        <v/>
      </c>
      <c r="D26" s="26" t="str">
        <f aca="false">IF(B26="","",COUNTIFS('Match Log'!$E$6:$E$155,B26,'Match Log'!$G$6:$G$155,"W"))</f>
        <v/>
      </c>
      <c r="E26" s="26" t="str">
        <f aca="false">IF(B26="","",COUNTIFS('Match Log'!$E$6:$E$155,B26,'Match Log'!$G$6:$G$155,"L"))</f>
        <v/>
      </c>
      <c r="F26" s="22" t="str">
        <f aca="false">IF(OR(B26="",C26=0),"",D26/C26)</f>
        <v/>
      </c>
      <c r="G26" s="27" t="str">
        <f aca="false">IF(OR(B26="",C26=0),"",_xlfn.MAXIFS('Match Log'!$B$6:$B$155,'Match Log'!$E$6:$E$155,B26))</f>
        <v/>
      </c>
    </row>
    <row r="27" customFormat="false" ht="15" hidden="false" customHeight="false" outlineLevel="0" collapsed="false">
      <c r="B27" s="25"/>
      <c r="C27" s="26" t="str">
        <f aca="false">IF(B27="","",COUNTIF('Match Log'!$E$6:$E$155,B27))</f>
        <v/>
      </c>
      <c r="D27" s="26" t="str">
        <f aca="false">IF(B27="","",COUNTIFS('Match Log'!$E$6:$E$155,B27,'Match Log'!$G$6:$G$155,"W"))</f>
        <v/>
      </c>
      <c r="E27" s="26" t="str">
        <f aca="false">IF(B27="","",COUNTIFS('Match Log'!$E$6:$E$155,B27,'Match Log'!$G$6:$G$155,"L"))</f>
        <v/>
      </c>
      <c r="F27" s="22" t="str">
        <f aca="false">IF(OR(B27="",C27=0),"",D27/C27)</f>
        <v/>
      </c>
      <c r="G27" s="27" t="str">
        <f aca="false">IF(OR(B27="",C27=0),"",_xlfn.MAXIFS('Match Log'!$B$6:$B$155,'Match Log'!$E$6:$E$155,B27))</f>
        <v/>
      </c>
    </row>
    <row r="28" customFormat="false" ht="15" hidden="false" customHeight="false" outlineLevel="0" collapsed="false">
      <c r="B28" s="25"/>
      <c r="C28" s="26" t="str">
        <f aca="false">IF(B28="","",COUNTIF('Match Log'!$E$6:$E$155,B28))</f>
        <v/>
      </c>
      <c r="D28" s="26" t="str">
        <f aca="false">IF(B28="","",COUNTIFS('Match Log'!$E$6:$E$155,B28,'Match Log'!$G$6:$G$155,"W"))</f>
        <v/>
      </c>
      <c r="E28" s="26" t="str">
        <f aca="false">IF(B28="","",COUNTIFS('Match Log'!$E$6:$E$155,B28,'Match Log'!$G$6:$G$155,"L"))</f>
        <v/>
      </c>
      <c r="F28" s="22" t="str">
        <f aca="false">IF(OR(B28="",C28=0),"",D28/C28)</f>
        <v/>
      </c>
      <c r="G28" s="27" t="str">
        <f aca="false">IF(OR(B28="",C28=0),"",_xlfn.MAXIFS('Match Log'!$B$6:$B$155,'Match Log'!$E$6:$E$155,B28))</f>
        <v/>
      </c>
    </row>
    <row r="29" customFormat="false" ht="15" hidden="false" customHeight="false" outlineLevel="0" collapsed="false">
      <c r="B29" s="25"/>
      <c r="C29" s="26" t="str">
        <f aca="false">IF(B29="","",COUNTIF('Match Log'!$E$6:$E$155,B29))</f>
        <v/>
      </c>
      <c r="D29" s="26" t="str">
        <f aca="false">IF(B29="","",COUNTIFS('Match Log'!$E$6:$E$155,B29,'Match Log'!$G$6:$G$155,"W"))</f>
        <v/>
      </c>
      <c r="E29" s="26" t="str">
        <f aca="false">IF(B29="","",COUNTIFS('Match Log'!$E$6:$E$155,B29,'Match Log'!$G$6:$G$155,"L"))</f>
        <v/>
      </c>
      <c r="F29" s="22" t="str">
        <f aca="false">IF(OR(B29="",C29=0),"",D29/C29)</f>
        <v/>
      </c>
      <c r="G29" s="27" t="str">
        <f aca="false">IF(OR(B29="",C29=0),"",_xlfn.MAXIFS('Match Log'!$B$6:$B$155,'Match Log'!$E$6:$E$155,B29))</f>
        <v/>
      </c>
    </row>
    <row r="30" customFormat="false" ht="15" hidden="false" customHeight="false" outlineLevel="0" collapsed="false">
      <c r="B30" s="25"/>
      <c r="C30" s="26" t="str">
        <f aca="false">IF(B30="","",COUNTIF('Match Log'!$E$6:$E$155,B30))</f>
        <v/>
      </c>
      <c r="D30" s="26" t="str">
        <f aca="false">IF(B30="","",COUNTIFS('Match Log'!$E$6:$E$155,B30,'Match Log'!$G$6:$G$155,"W"))</f>
        <v/>
      </c>
      <c r="E30" s="26" t="str">
        <f aca="false">IF(B30="","",COUNTIFS('Match Log'!$E$6:$E$155,B30,'Match Log'!$G$6:$G$155,"L"))</f>
        <v/>
      </c>
      <c r="F30" s="22" t="str">
        <f aca="false">IF(OR(B30="",C30=0),"",D30/C30)</f>
        <v/>
      </c>
      <c r="G30" s="27" t="str">
        <f aca="false">IF(OR(B30="",C30=0),"",_xlfn.MAXIFS('Match Log'!$B$6:$B$155,'Match Log'!$E$6:$E$155,B30))</f>
        <v/>
      </c>
    </row>
    <row r="31" customFormat="false" ht="15" hidden="false" customHeight="false" outlineLevel="0" collapsed="false">
      <c r="B31" s="25"/>
      <c r="C31" s="26" t="str">
        <f aca="false">IF(B31="","",COUNTIF('Match Log'!$E$6:$E$155,B31))</f>
        <v/>
      </c>
      <c r="D31" s="26" t="str">
        <f aca="false">IF(B31="","",COUNTIFS('Match Log'!$E$6:$E$155,B31,'Match Log'!$G$6:$G$155,"W"))</f>
        <v/>
      </c>
      <c r="E31" s="26" t="str">
        <f aca="false">IF(B31="","",COUNTIFS('Match Log'!$E$6:$E$155,B31,'Match Log'!$G$6:$G$155,"L"))</f>
        <v/>
      </c>
      <c r="F31" s="22" t="str">
        <f aca="false">IF(OR(B31="",C31=0),"",D31/C31)</f>
        <v/>
      </c>
      <c r="G31" s="27" t="str">
        <f aca="false">IF(OR(B31="",C31=0),"",_xlfn.MAXIFS('Match Log'!$B$6:$B$155,'Match Log'!$E$6:$E$155,B31))</f>
        <v/>
      </c>
    </row>
    <row r="32" customFormat="false" ht="15" hidden="false" customHeight="false" outlineLevel="0" collapsed="false">
      <c r="B32" s="25"/>
      <c r="C32" s="26" t="str">
        <f aca="false">IF(B32="","",COUNTIF('Match Log'!$E$6:$E$155,B32))</f>
        <v/>
      </c>
      <c r="D32" s="26" t="str">
        <f aca="false">IF(B32="","",COUNTIFS('Match Log'!$E$6:$E$155,B32,'Match Log'!$G$6:$G$155,"W"))</f>
        <v/>
      </c>
      <c r="E32" s="26" t="str">
        <f aca="false">IF(B32="","",COUNTIFS('Match Log'!$E$6:$E$155,B32,'Match Log'!$G$6:$G$155,"L"))</f>
        <v/>
      </c>
      <c r="F32" s="22" t="str">
        <f aca="false">IF(OR(B32="",C32=0),"",D32/C32)</f>
        <v/>
      </c>
      <c r="G32" s="27" t="str">
        <f aca="false">IF(OR(B32="",C32=0),"",_xlfn.MAXIFS('Match Log'!$B$6:$B$155,'Match Log'!$E$6:$E$155,B32))</f>
        <v/>
      </c>
    </row>
    <row r="33" customFormat="false" ht="15" hidden="false" customHeight="false" outlineLevel="0" collapsed="false">
      <c r="B33" s="25"/>
      <c r="C33" s="26" t="str">
        <f aca="false">IF(B33="","",COUNTIF('Match Log'!$E$6:$E$155,B33))</f>
        <v/>
      </c>
      <c r="D33" s="26" t="str">
        <f aca="false">IF(B33="","",COUNTIFS('Match Log'!$E$6:$E$155,B33,'Match Log'!$G$6:$G$155,"W"))</f>
        <v/>
      </c>
      <c r="E33" s="26" t="str">
        <f aca="false">IF(B33="","",COUNTIFS('Match Log'!$E$6:$E$155,B33,'Match Log'!$G$6:$G$155,"L"))</f>
        <v/>
      </c>
      <c r="F33" s="22" t="str">
        <f aca="false">IF(OR(B33="",C33=0),"",D33/C33)</f>
        <v/>
      </c>
      <c r="G33" s="27" t="str">
        <f aca="false">IF(OR(B33="",C33=0),"",_xlfn.MAXIFS('Match Log'!$B$6:$B$155,'Match Log'!$E$6:$E$155,B33))</f>
        <v/>
      </c>
    </row>
    <row r="34" customFormat="false" ht="15" hidden="false" customHeight="false" outlineLevel="0" collapsed="false">
      <c r="B34" s="25"/>
      <c r="C34" s="26" t="str">
        <f aca="false">IF(B34="","",COUNTIF('Match Log'!$E$6:$E$155,B34))</f>
        <v/>
      </c>
      <c r="D34" s="26" t="str">
        <f aca="false">IF(B34="","",COUNTIFS('Match Log'!$E$6:$E$155,B34,'Match Log'!$G$6:$G$155,"W"))</f>
        <v/>
      </c>
      <c r="E34" s="26" t="str">
        <f aca="false">IF(B34="","",COUNTIFS('Match Log'!$E$6:$E$155,B34,'Match Log'!$G$6:$G$155,"L"))</f>
        <v/>
      </c>
      <c r="F34" s="22" t="str">
        <f aca="false">IF(OR(B34="",C34=0),"",D34/C34)</f>
        <v/>
      </c>
      <c r="G34" s="27" t="str">
        <f aca="false">IF(OR(B34="",C34=0),"",_xlfn.MAXIFS('Match Log'!$B$6:$B$155,'Match Log'!$E$6:$E$155,B34))</f>
        <v/>
      </c>
    </row>
    <row r="35" customFormat="false" ht="15" hidden="false" customHeight="false" outlineLevel="0" collapsed="false">
      <c r="B35" s="25"/>
      <c r="C35" s="26" t="str">
        <f aca="false">IF(B35="","",COUNTIF('Match Log'!$E$6:$E$155,B35))</f>
        <v/>
      </c>
      <c r="D35" s="26" t="str">
        <f aca="false">IF(B35="","",COUNTIFS('Match Log'!$E$6:$E$155,B35,'Match Log'!$G$6:$G$155,"W"))</f>
        <v/>
      </c>
      <c r="E35" s="26" t="str">
        <f aca="false">IF(B35="","",COUNTIFS('Match Log'!$E$6:$E$155,B35,'Match Log'!$G$6:$G$155,"L"))</f>
        <v/>
      </c>
      <c r="F35" s="22" t="str">
        <f aca="false">IF(OR(B35="",C35=0),"",D35/C35)</f>
        <v/>
      </c>
      <c r="G35" s="27" t="str">
        <f aca="false">IF(OR(B35="",C35=0),"",_xlfn.MAXIFS('Match Log'!$B$6:$B$155,'Match Log'!$E$6:$E$155,B35))</f>
        <v/>
      </c>
    </row>
    <row r="36" customFormat="false" ht="15" hidden="false" customHeight="false" outlineLevel="0" collapsed="false">
      <c r="B36" s="25"/>
      <c r="C36" s="26" t="str">
        <f aca="false">IF(B36="","",COUNTIF('Match Log'!$E$6:$E$155,B36))</f>
        <v/>
      </c>
      <c r="D36" s="26" t="str">
        <f aca="false">IF(B36="","",COUNTIFS('Match Log'!$E$6:$E$155,B36,'Match Log'!$G$6:$G$155,"W"))</f>
        <v/>
      </c>
      <c r="E36" s="26" t="str">
        <f aca="false">IF(B36="","",COUNTIFS('Match Log'!$E$6:$E$155,B36,'Match Log'!$G$6:$G$155,"L"))</f>
        <v/>
      </c>
      <c r="F36" s="22" t="str">
        <f aca="false">IF(OR(B36="",C36=0),"",D36/C36)</f>
        <v/>
      </c>
      <c r="G36" s="27" t="str">
        <f aca="false">IF(OR(B36="",C36=0),"",_xlfn.MAXIFS('Match Log'!$B$6:$B$155,'Match Log'!$E$6:$E$155,B36))</f>
        <v/>
      </c>
    </row>
    <row r="37" customFormat="false" ht="15" hidden="false" customHeight="false" outlineLevel="0" collapsed="false">
      <c r="B37" s="25"/>
      <c r="C37" s="26" t="str">
        <f aca="false">IF(B37="","",COUNTIF('Match Log'!$E$6:$E$155,B37))</f>
        <v/>
      </c>
      <c r="D37" s="26" t="str">
        <f aca="false">IF(B37="","",COUNTIFS('Match Log'!$E$6:$E$155,B37,'Match Log'!$G$6:$G$155,"W"))</f>
        <v/>
      </c>
      <c r="E37" s="26" t="str">
        <f aca="false">IF(B37="","",COUNTIFS('Match Log'!$E$6:$E$155,B37,'Match Log'!$G$6:$G$155,"L"))</f>
        <v/>
      </c>
      <c r="F37" s="22" t="str">
        <f aca="false">IF(OR(B37="",C37=0),"",D37/C37)</f>
        <v/>
      </c>
      <c r="G37" s="27" t="str">
        <f aca="false">IF(OR(B37="",C37=0),"",_xlfn.MAXIFS('Match Log'!$B$6:$B$155,'Match Log'!$E$6:$E$155,B37))</f>
        <v/>
      </c>
    </row>
    <row r="38" customFormat="false" ht="15" hidden="false" customHeight="false" outlineLevel="0" collapsed="false">
      <c r="B38" s="25"/>
      <c r="C38" s="26" t="str">
        <f aca="false">IF(B38="","",COUNTIF('Match Log'!$E$6:$E$155,B38))</f>
        <v/>
      </c>
      <c r="D38" s="26" t="str">
        <f aca="false">IF(B38="","",COUNTIFS('Match Log'!$E$6:$E$155,B38,'Match Log'!$G$6:$G$155,"W"))</f>
        <v/>
      </c>
      <c r="E38" s="26" t="str">
        <f aca="false">IF(B38="","",COUNTIFS('Match Log'!$E$6:$E$155,B38,'Match Log'!$G$6:$G$155,"L"))</f>
        <v/>
      </c>
      <c r="F38" s="22" t="str">
        <f aca="false">IF(OR(B38="",C38=0),"",D38/C38)</f>
        <v/>
      </c>
      <c r="G38" s="27" t="str">
        <f aca="false">IF(OR(B38="",C38=0),"",_xlfn.MAXIFS('Match Log'!$B$6:$B$155,'Match Log'!$E$6:$E$155,B38))</f>
        <v/>
      </c>
    </row>
    <row r="39" customFormat="false" ht="15" hidden="false" customHeight="false" outlineLevel="0" collapsed="false">
      <c r="B39" s="25"/>
      <c r="C39" s="26" t="str">
        <f aca="false">IF(B39="","",COUNTIF('Match Log'!$E$6:$E$155,B39))</f>
        <v/>
      </c>
      <c r="D39" s="26" t="str">
        <f aca="false">IF(B39="","",COUNTIFS('Match Log'!$E$6:$E$155,B39,'Match Log'!$G$6:$G$155,"W"))</f>
        <v/>
      </c>
      <c r="E39" s="26" t="str">
        <f aca="false">IF(B39="","",COUNTIFS('Match Log'!$E$6:$E$155,B39,'Match Log'!$G$6:$G$155,"L"))</f>
        <v/>
      </c>
      <c r="F39" s="22" t="str">
        <f aca="false">IF(OR(B39="",C39=0),"",D39/C39)</f>
        <v/>
      </c>
      <c r="G39" s="27" t="str">
        <f aca="false">IF(OR(B39="",C39=0),"",_xlfn.MAXIFS('Match Log'!$B$6:$B$155,'Match Log'!$E$6:$E$155,B39))</f>
        <v/>
      </c>
    </row>
    <row r="40" customFormat="false" ht="15" hidden="false" customHeight="false" outlineLevel="0" collapsed="false">
      <c r="B40" s="25"/>
      <c r="C40" s="26" t="str">
        <f aca="false">IF(B40="","",COUNTIF('Match Log'!$E$6:$E$155,B40))</f>
        <v/>
      </c>
      <c r="D40" s="26" t="str">
        <f aca="false">IF(B40="","",COUNTIFS('Match Log'!$E$6:$E$155,B40,'Match Log'!$G$6:$G$155,"W"))</f>
        <v/>
      </c>
      <c r="E40" s="26" t="str">
        <f aca="false">IF(B40="","",COUNTIFS('Match Log'!$E$6:$E$155,B40,'Match Log'!$G$6:$G$155,"L"))</f>
        <v/>
      </c>
      <c r="F40" s="22" t="str">
        <f aca="false">IF(OR(B40="",C40=0),"",D40/C40)</f>
        <v/>
      </c>
      <c r="G40" s="27" t="str">
        <f aca="false">IF(OR(B40="",C40=0),"",_xlfn.MAXIFS('Match Log'!$B$6:$B$155,'Match Log'!$E$6:$E$155,B40))</f>
        <v/>
      </c>
    </row>
    <row r="41" customFormat="false" ht="15" hidden="false" customHeight="false" outlineLevel="0" collapsed="false">
      <c r="B41" s="25"/>
      <c r="C41" s="26" t="str">
        <f aca="false">IF(B41="","",COUNTIF('Match Log'!$E$6:$E$155,B41))</f>
        <v/>
      </c>
      <c r="D41" s="26" t="str">
        <f aca="false">IF(B41="","",COUNTIFS('Match Log'!$E$6:$E$155,B41,'Match Log'!$G$6:$G$155,"W"))</f>
        <v/>
      </c>
      <c r="E41" s="26" t="str">
        <f aca="false">IF(B41="","",COUNTIFS('Match Log'!$E$6:$E$155,B41,'Match Log'!$G$6:$G$155,"L"))</f>
        <v/>
      </c>
      <c r="F41" s="22" t="str">
        <f aca="false">IF(OR(B41="",C41=0),"",D41/C41)</f>
        <v/>
      </c>
      <c r="G41" s="27" t="str">
        <f aca="false">IF(OR(B41="",C41=0),"",_xlfn.MAXIFS('Match Log'!$B$6:$B$155,'Match Log'!$E$6:$E$155,B41))</f>
        <v/>
      </c>
    </row>
    <row r="42" customFormat="false" ht="15" hidden="false" customHeight="false" outlineLevel="0" collapsed="false">
      <c r="B42" s="25"/>
      <c r="C42" s="26" t="str">
        <f aca="false">IF(B42="","",COUNTIF('Match Log'!$E$6:$E$155,B42))</f>
        <v/>
      </c>
      <c r="D42" s="26" t="str">
        <f aca="false">IF(B42="","",COUNTIFS('Match Log'!$E$6:$E$155,B42,'Match Log'!$G$6:$G$155,"W"))</f>
        <v/>
      </c>
      <c r="E42" s="26" t="str">
        <f aca="false">IF(B42="","",COUNTIFS('Match Log'!$E$6:$E$155,B42,'Match Log'!$G$6:$G$155,"L"))</f>
        <v/>
      </c>
      <c r="F42" s="22" t="str">
        <f aca="false">IF(OR(B42="",C42=0),"",D42/C42)</f>
        <v/>
      </c>
      <c r="G42" s="27" t="str">
        <f aca="false">IF(OR(B42="",C42=0),"",_xlfn.MAXIFS('Match Log'!$B$6:$B$155,'Match Log'!$E$6:$E$155,B42))</f>
        <v/>
      </c>
    </row>
    <row r="43" customFormat="false" ht="15" hidden="false" customHeight="false" outlineLevel="0" collapsed="false">
      <c r="B43" s="25"/>
      <c r="C43" s="26" t="str">
        <f aca="false">IF(B43="","",COUNTIF('Match Log'!$E$6:$E$155,B43))</f>
        <v/>
      </c>
      <c r="D43" s="26" t="str">
        <f aca="false">IF(B43="","",COUNTIFS('Match Log'!$E$6:$E$155,B43,'Match Log'!$G$6:$G$155,"W"))</f>
        <v/>
      </c>
      <c r="E43" s="26" t="str">
        <f aca="false">IF(B43="","",COUNTIFS('Match Log'!$E$6:$E$155,B43,'Match Log'!$G$6:$G$155,"L"))</f>
        <v/>
      </c>
      <c r="F43" s="22" t="str">
        <f aca="false">IF(OR(B43="",C43=0),"",D43/C43)</f>
        <v/>
      </c>
      <c r="G43" s="27" t="str">
        <f aca="false">IF(OR(B43="",C43=0),"",_xlfn.MAXIFS('Match Log'!$B$6:$B$155,'Match Log'!$E$6:$E$155,B43))</f>
        <v/>
      </c>
    </row>
    <row r="44" customFormat="false" ht="15" hidden="false" customHeight="false" outlineLevel="0" collapsed="false">
      <c r="B44" s="25"/>
      <c r="C44" s="26" t="str">
        <f aca="false">IF(B44="","",COUNTIF('Match Log'!$E$6:$E$155,B44))</f>
        <v/>
      </c>
      <c r="D44" s="26" t="str">
        <f aca="false">IF(B44="","",COUNTIFS('Match Log'!$E$6:$E$155,B44,'Match Log'!$G$6:$G$155,"W"))</f>
        <v/>
      </c>
      <c r="E44" s="26" t="str">
        <f aca="false">IF(B44="","",COUNTIFS('Match Log'!$E$6:$E$155,B44,'Match Log'!$G$6:$G$155,"L"))</f>
        <v/>
      </c>
      <c r="F44" s="22" t="str">
        <f aca="false">IF(OR(B44="",C44=0),"",D44/C44)</f>
        <v/>
      </c>
      <c r="G44" s="27" t="str">
        <f aca="false">IF(OR(B44="",C44=0),"",_xlfn.MAXIFS('Match Log'!$B$6:$B$155,'Match Log'!$E$6:$E$155,B44))</f>
        <v/>
      </c>
    </row>
    <row r="45" customFormat="false" ht="15" hidden="false" customHeight="false" outlineLevel="0" collapsed="false">
      <c r="B45" s="25"/>
      <c r="C45" s="26" t="str">
        <f aca="false">IF(B45="","",COUNTIF('Match Log'!$E$6:$E$155,B45))</f>
        <v/>
      </c>
      <c r="D45" s="26" t="str">
        <f aca="false">IF(B45="","",COUNTIFS('Match Log'!$E$6:$E$155,B45,'Match Log'!$G$6:$G$155,"W"))</f>
        <v/>
      </c>
      <c r="E45" s="26" t="str">
        <f aca="false">IF(B45="","",COUNTIFS('Match Log'!$E$6:$E$155,B45,'Match Log'!$G$6:$G$155,"L"))</f>
        <v/>
      </c>
      <c r="F45" s="22" t="str">
        <f aca="false">IF(OR(B45="",C45=0),"",D45/C45)</f>
        <v/>
      </c>
      <c r="G45" s="27" t="str">
        <f aca="false">IF(OR(B45="",C45=0),"",_xlfn.MAXIFS('Match Log'!$B$6:$B$155,'Match Log'!$E$6:$E$155,B45))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B2: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28"/>
  </cols>
  <sheetData>
    <row r="2" customFormat="false" ht="33.75" hidden="false" customHeight="true" outlineLevel="0" collapsed="false">
      <c r="B2" s="1" t="s">
        <v>139</v>
      </c>
    </row>
    <row r="3" customFormat="false" ht="15" hidden="false" customHeight="false" outlineLevel="0" collapsed="false">
      <c r="B3" s="2" t="s">
        <v>140</v>
      </c>
    </row>
    <row r="4" customFormat="false" ht="15" hidden="false" customHeight="false" outlineLevel="0" collapsed="false">
      <c r="B4" s="3"/>
      <c r="C4" s="3"/>
      <c r="D4" s="3"/>
      <c r="E4" s="3"/>
      <c r="F4" s="3"/>
      <c r="G4" s="3"/>
      <c r="H4" s="3"/>
      <c r="I4" s="3"/>
    </row>
    <row r="5" customFormat="false" ht="27.75" hidden="false" customHeight="true" outlineLevel="0" collapsed="false">
      <c r="B5" s="14" t="s">
        <v>141</v>
      </c>
      <c r="C5" s="14" t="s">
        <v>142</v>
      </c>
      <c r="D5" s="14" t="s">
        <v>143</v>
      </c>
      <c r="E5" s="14" t="s">
        <v>39</v>
      </c>
      <c r="F5" s="14" t="s">
        <v>144</v>
      </c>
      <c r="G5" s="14" t="s">
        <v>145</v>
      </c>
      <c r="H5" s="14" t="s">
        <v>146</v>
      </c>
      <c r="I5" s="14" t="s">
        <v>147</v>
      </c>
    </row>
    <row r="6" customFormat="false" ht="15" hidden="false" customHeight="false" outlineLevel="0" collapsed="false">
      <c r="B6" s="28" t="n">
        <v>46452</v>
      </c>
      <c r="C6" s="25" t="s">
        <v>96</v>
      </c>
      <c r="D6" s="25" t="s">
        <v>148</v>
      </c>
      <c r="E6" s="25" t="s">
        <v>45</v>
      </c>
      <c r="F6" s="28" t="n">
        <v>46438</v>
      </c>
      <c r="G6" s="25" t="s">
        <v>149</v>
      </c>
      <c r="H6" s="24" t="n">
        <f aca="true">IF(B6="","",MAX(0,B6-TODAY()))</f>
        <v>131</v>
      </c>
      <c r="I6" s="25" t="s">
        <v>150</v>
      </c>
    </row>
    <row r="7" customFormat="false" ht="15" hidden="false" customHeight="false" outlineLevel="0" collapsed="false">
      <c r="B7" s="28"/>
      <c r="C7" s="25"/>
      <c r="D7" s="25"/>
      <c r="E7" s="25"/>
      <c r="F7" s="28"/>
      <c r="G7" s="25"/>
      <c r="H7" s="24" t="str">
        <f aca="true">IF(B7="","",MAX(0,B7-TODAY()))</f>
        <v/>
      </c>
      <c r="I7" s="25"/>
    </row>
    <row r="8" customFormat="false" ht="15" hidden="false" customHeight="false" outlineLevel="0" collapsed="false">
      <c r="B8" s="28"/>
      <c r="C8" s="25"/>
      <c r="D8" s="25"/>
      <c r="E8" s="25"/>
      <c r="F8" s="28"/>
      <c r="G8" s="25"/>
      <c r="H8" s="24" t="str">
        <f aca="true">IF(B8="","",MAX(0,B8-TODAY()))</f>
        <v/>
      </c>
      <c r="I8" s="25"/>
    </row>
    <row r="9" customFormat="false" ht="15" hidden="false" customHeight="false" outlineLevel="0" collapsed="false">
      <c r="B9" s="28"/>
      <c r="C9" s="25"/>
      <c r="D9" s="25"/>
      <c r="E9" s="25"/>
      <c r="F9" s="28"/>
      <c r="G9" s="25"/>
      <c r="H9" s="24" t="str">
        <f aca="true">IF(B9="","",MAX(0,B9-TODAY()))</f>
        <v/>
      </c>
      <c r="I9" s="25"/>
    </row>
    <row r="10" customFormat="false" ht="15" hidden="false" customHeight="false" outlineLevel="0" collapsed="false">
      <c r="B10" s="28"/>
      <c r="C10" s="25"/>
      <c r="D10" s="25"/>
      <c r="E10" s="25"/>
      <c r="F10" s="28"/>
      <c r="G10" s="25"/>
      <c r="H10" s="24" t="str">
        <f aca="true">IF(B10="","",MAX(0,B10-TODAY()))</f>
        <v/>
      </c>
      <c r="I10" s="25"/>
    </row>
    <row r="11" customFormat="false" ht="15" hidden="false" customHeight="false" outlineLevel="0" collapsed="false">
      <c r="B11" s="28"/>
      <c r="C11" s="25"/>
      <c r="D11" s="25"/>
      <c r="E11" s="25"/>
      <c r="F11" s="28"/>
      <c r="G11" s="25"/>
      <c r="H11" s="24" t="str">
        <f aca="true">IF(B11="","",MAX(0,B11-TODAY()))</f>
        <v/>
      </c>
      <c r="I11" s="25"/>
    </row>
    <row r="12" customFormat="false" ht="15" hidden="false" customHeight="false" outlineLevel="0" collapsed="false">
      <c r="B12" s="28"/>
      <c r="C12" s="25"/>
      <c r="D12" s="25"/>
      <c r="E12" s="25"/>
      <c r="F12" s="28"/>
      <c r="G12" s="25"/>
      <c r="H12" s="24" t="str">
        <f aca="true">IF(B12="","",MAX(0,B12-TODAY()))</f>
        <v/>
      </c>
      <c r="I12" s="25"/>
    </row>
    <row r="13" customFormat="false" ht="15" hidden="false" customHeight="false" outlineLevel="0" collapsed="false">
      <c r="B13" s="28"/>
      <c r="C13" s="25"/>
      <c r="D13" s="25"/>
      <c r="E13" s="25"/>
      <c r="F13" s="28"/>
      <c r="G13" s="25"/>
      <c r="H13" s="24" t="str">
        <f aca="true">IF(B13="","",MAX(0,B13-TODAY()))</f>
        <v/>
      </c>
      <c r="I13" s="25"/>
    </row>
    <row r="14" customFormat="false" ht="15" hidden="false" customHeight="false" outlineLevel="0" collapsed="false">
      <c r="B14" s="28"/>
      <c r="C14" s="25"/>
      <c r="D14" s="25"/>
      <c r="E14" s="25"/>
      <c r="F14" s="28"/>
      <c r="G14" s="25"/>
      <c r="H14" s="24" t="str">
        <f aca="true">IF(B14="","",MAX(0,B14-TODAY()))</f>
        <v/>
      </c>
      <c r="I14" s="25"/>
    </row>
    <row r="15" customFormat="false" ht="15" hidden="false" customHeight="false" outlineLevel="0" collapsed="false">
      <c r="B15" s="28"/>
      <c r="C15" s="25"/>
      <c r="D15" s="25"/>
      <c r="E15" s="25"/>
      <c r="F15" s="28"/>
      <c r="G15" s="25"/>
      <c r="H15" s="24" t="str">
        <f aca="true">IF(B15="","",MAX(0,B15-TODAY()))</f>
        <v/>
      </c>
      <c r="I15" s="25"/>
    </row>
    <row r="16" customFormat="false" ht="15" hidden="false" customHeight="false" outlineLevel="0" collapsed="false">
      <c r="B16" s="28"/>
      <c r="C16" s="25"/>
      <c r="D16" s="25"/>
      <c r="E16" s="25"/>
      <c r="F16" s="28"/>
      <c r="G16" s="25"/>
      <c r="H16" s="24" t="str">
        <f aca="true">IF(B16="","",MAX(0,B16-TODAY()))</f>
        <v/>
      </c>
      <c r="I16" s="25"/>
    </row>
    <row r="17" customFormat="false" ht="15" hidden="false" customHeight="false" outlineLevel="0" collapsed="false">
      <c r="B17" s="28"/>
      <c r="C17" s="25"/>
      <c r="D17" s="25"/>
      <c r="E17" s="25"/>
      <c r="F17" s="28"/>
      <c r="G17" s="25"/>
      <c r="H17" s="24" t="str">
        <f aca="true">IF(B17="","",MAX(0,B17-TODAY()))</f>
        <v/>
      </c>
      <c r="I17" s="25"/>
    </row>
    <row r="18" customFormat="false" ht="15" hidden="false" customHeight="false" outlineLevel="0" collapsed="false">
      <c r="B18" s="28"/>
      <c r="C18" s="25"/>
      <c r="D18" s="25"/>
      <c r="E18" s="25"/>
      <c r="F18" s="28"/>
      <c r="G18" s="25"/>
      <c r="H18" s="24" t="str">
        <f aca="true">IF(B18="","",MAX(0,B18-TODAY()))</f>
        <v/>
      </c>
      <c r="I18" s="25"/>
    </row>
    <row r="19" customFormat="false" ht="15" hidden="false" customHeight="false" outlineLevel="0" collapsed="false">
      <c r="B19" s="28"/>
      <c r="C19" s="25"/>
      <c r="D19" s="25"/>
      <c r="E19" s="25"/>
      <c r="F19" s="28"/>
      <c r="G19" s="25"/>
      <c r="H19" s="24" t="str">
        <f aca="true">IF(B19="","",MAX(0,B19-TODAY()))</f>
        <v/>
      </c>
      <c r="I19" s="25"/>
    </row>
    <row r="20" customFormat="false" ht="15" hidden="false" customHeight="false" outlineLevel="0" collapsed="false">
      <c r="B20" s="28"/>
      <c r="C20" s="25"/>
      <c r="D20" s="25"/>
      <c r="E20" s="25"/>
      <c r="F20" s="28"/>
      <c r="G20" s="25"/>
      <c r="H20" s="24" t="str">
        <f aca="true">IF(B20="","",MAX(0,B20-TODAY()))</f>
        <v/>
      </c>
      <c r="I20" s="25"/>
    </row>
    <row r="21" customFormat="false" ht="15" hidden="false" customHeight="false" outlineLevel="0" collapsed="false">
      <c r="B21" s="28"/>
      <c r="C21" s="25"/>
      <c r="D21" s="25"/>
      <c r="E21" s="25"/>
      <c r="F21" s="28"/>
      <c r="G21" s="25"/>
      <c r="H21" s="24" t="str">
        <f aca="true">IF(B21="","",MAX(0,B21-TODAY()))</f>
        <v/>
      </c>
      <c r="I21" s="25"/>
    </row>
    <row r="22" customFormat="false" ht="15" hidden="false" customHeight="false" outlineLevel="0" collapsed="false">
      <c r="B22" s="28"/>
      <c r="C22" s="25"/>
      <c r="D22" s="25"/>
      <c r="E22" s="25"/>
      <c r="F22" s="28"/>
      <c r="G22" s="25"/>
      <c r="H22" s="24" t="str">
        <f aca="true">IF(B22="","",MAX(0,B22-TODAY()))</f>
        <v/>
      </c>
      <c r="I22" s="25"/>
    </row>
    <row r="23" customFormat="false" ht="15" hidden="false" customHeight="false" outlineLevel="0" collapsed="false">
      <c r="B23" s="28"/>
      <c r="C23" s="25"/>
      <c r="D23" s="25"/>
      <c r="E23" s="25"/>
      <c r="F23" s="28"/>
      <c r="G23" s="25"/>
      <c r="H23" s="24" t="str">
        <f aca="true">IF(B23="","",MAX(0,B23-TODAY()))</f>
        <v/>
      </c>
      <c r="I23" s="25"/>
    </row>
    <row r="24" customFormat="false" ht="15" hidden="false" customHeight="false" outlineLevel="0" collapsed="false">
      <c r="B24" s="28"/>
      <c r="C24" s="25"/>
      <c r="D24" s="25"/>
      <c r="E24" s="25"/>
      <c r="F24" s="28"/>
      <c r="G24" s="25"/>
      <c r="H24" s="24" t="str">
        <f aca="true">IF(B24="","",MAX(0,B24-TODAY()))</f>
        <v/>
      </c>
      <c r="I24" s="25"/>
    </row>
    <row r="25" customFormat="false" ht="15" hidden="false" customHeight="false" outlineLevel="0" collapsed="false">
      <c r="B25" s="28"/>
      <c r="C25" s="25"/>
      <c r="D25" s="25"/>
      <c r="E25" s="25"/>
      <c r="F25" s="28"/>
      <c r="G25" s="25"/>
      <c r="H25" s="24" t="str">
        <f aca="true">IF(B25="","",MAX(0,B25-TODAY()))</f>
        <v/>
      </c>
      <c r="I25" s="25"/>
    </row>
    <row r="26" customFormat="false" ht="15" hidden="false" customHeight="false" outlineLevel="0" collapsed="false">
      <c r="B26" s="28"/>
      <c r="C26" s="25"/>
      <c r="D26" s="25"/>
      <c r="E26" s="25"/>
      <c r="F26" s="28"/>
      <c r="G26" s="25"/>
      <c r="H26" s="24" t="str">
        <f aca="true">IF(B26="","",MAX(0,B26-TODAY()))</f>
        <v/>
      </c>
      <c r="I26" s="25"/>
    </row>
    <row r="27" customFormat="false" ht="15" hidden="false" customHeight="false" outlineLevel="0" collapsed="false">
      <c r="B27" s="28"/>
      <c r="C27" s="25"/>
      <c r="D27" s="25"/>
      <c r="E27" s="25"/>
      <c r="F27" s="28"/>
      <c r="G27" s="25"/>
      <c r="H27" s="24" t="str">
        <f aca="true">IF(B27="","",MAX(0,B27-TODAY()))</f>
        <v/>
      </c>
      <c r="I27" s="25"/>
    </row>
    <row r="28" customFormat="false" ht="15" hidden="false" customHeight="false" outlineLevel="0" collapsed="false">
      <c r="B28" s="28"/>
      <c r="C28" s="25"/>
      <c r="D28" s="25"/>
      <c r="E28" s="25"/>
      <c r="F28" s="28"/>
      <c r="G28" s="25"/>
      <c r="H28" s="24" t="str">
        <f aca="true">IF(B28="","",MAX(0,B28-TODAY()))</f>
        <v/>
      </c>
      <c r="I28" s="25"/>
    </row>
    <row r="29" customFormat="false" ht="15" hidden="false" customHeight="false" outlineLevel="0" collapsed="false">
      <c r="B29" s="28"/>
      <c r="C29" s="25"/>
      <c r="D29" s="25"/>
      <c r="E29" s="25"/>
      <c r="F29" s="28"/>
      <c r="G29" s="25"/>
      <c r="H29" s="24" t="str">
        <f aca="true">IF(B29="","",MAX(0,B29-TODAY()))</f>
        <v/>
      </c>
      <c r="I29" s="25"/>
    </row>
    <row r="30" customFormat="false" ht="15" hidden="false" customHeight="false" outlineLevel="0" collapsed="false">
      <c r="B30" s="28"/>
      <c r="C30" s="25"/>
      <c r="D30" s="25"/>
      <c r="E30" s="25"/>
      <c r="F30" s="28"/>
      <c r="G30" s="25"/>
      <c r="H30" s="24" t="str">
        <f aca="true">IF(B30="","",MAX(0,B30-TODAY()))</f>
        <v/>
      </c>
      <c r="I30" s="25"/>
    </row>
    <row r="31" customFormat="false" ht="15" hidden="false" customHeight="false" outlineLevel="0" collapsed="false">
      <c r="B31" s="28"/>
      <c r="C31" s="25"/>
      <c r="D31" s="25"/>
      <c r="E31" s="25"/>
      <c r="F31" s="28"/>
      <c r="G31" s="25"/>
      <c r="H31" s="24" t="str">
        <f aca="true">IF(B31="","",MAX(0,B31-TODAY()))</f>
        <v/>
      </c>
      <c r="I31" s="25"/>
    </row>
    <row r="32" customFormat="false" ht="15" hidden="false" customHeight="false" outlineLevel="0" collapsed="false">
      <c r="B32" s="28"/>
      <c r="C32" s="25"/>
      <c r="D32" s="25"/>
      <c r="E32" s="25"/>
      <c r="F32" s="28"/>
      <c r="G32" s="25"/>
      <c r="H32" s="24" t="str">
        <f aca="true">IF(B32="","",MAX(0,B32-TODAY()))</f>
        <v/>
      </c>
      <c r="I32" s="25"/>
    </row>
    <row r="33" customFormat="false" ht="15" hidden="false" customHeight="false" outlineLevel="0" collapsed="false">
      <c r="B33" s="28"/>
      <c r="C33" s="25"/>
      <c r="D33" s="25"/>
      <c r="E33" s="25"/>
      <c r="F33" s="28"/>
      <c r="G33" s="25"/>
      <c r="H33" s="24" t="str">
        <f aca="true">IF(B33="","",MAX(0,B33-TODAY()))</f>
        <v/>
      </c>
      <c r="I33" s="25"/>
    </row>
    <row r="34" customFormat="false" ht="15" hidden="false" customHeight="false" outlineLevel="0" collapsed="false">
      <c r="B34" s="28"/>
      <c r="C34" s="25"/>
      <c r="D34" s="25"/>
      <c r="E34" s="25"/>
      <c r="F34" s="28"/>
      <c r="G34" s="25"/>
      <c r="H34" s="24" t="str">
        <f aca="true">IF(B34="","",MAX(0,B34-TODAY()))</f>
        <v/>
      </c>
      <c r="I34" s="25"/>
    </row>
    <row r="35" customFormat="false" ht="15" hidden="false" customHeight="false" outlineLevel="0" collapsed="false">
      <c r="B35" s="28"/>
      <c r="C35" s="25"/>
      <c r="D35" s="25"/>
      <c r="E35" s="25"/>
      <c r="F35" s="28"/>
      <c r="G35" s="25"/>
      <c r="H35" s="24" t="str">
        <f aca="true">IF(B35="","",MAX(0,B35-TODAY()))</f>
        <v/>
      </c>
      <c r="I35" s="25"/>
    </row>
    <row r="36" customFormat="false" ht="15" hidden="false" customHeight="false" outlineLevel="0" collapsed="false">
      <c r="B36" s="28"/>
      <c r="C36" s="25"/>
      <c r="D36" s="25"/>
      <c r="E36" s="25"/>
      <c r="F36" s="28"/>
      <c r="G36" s="25"/>
      <c r="H36" s="24" t="str">
        <f aca="true">IF(B36="","",MAX(0,B36-TODAY()))</f>
        <v/>
      </c>
      <c r="I36" s="25"/>
    </row>
    <row r="37" customFormat="false" ht="15" hidden="false" customHeight="false" outlineLevel="0" collapsed="false">
      <c r="B37" s="28"/>
      <c r="C37" s="25"/>
      <c r="D37" s="25"/>
      <c r="E37" s="25"/>
      <c r="F37" s="28"/>
      <c r="G37" s="25"/>
      <c r="H37" s="24" t="str">
        <f aca="true">IF(B37="","",MAX(0,B37-TODAY()))</f>
        <v/>
      </c>
      <c r="I37" s="25"/>
    </row>
    <row r="38" customFormat="false" ht="15" hidden="false" customHeight="false" outlineLevel="0" collapsed="false">
      <c r="B38" s="28"/>
      <c r="C38" s="25"/>
      <c r="D38" s="25"/>
      <c r="E38" s="25"/>
      <c r="F38" s="28"/>
      <c r="G38" s="25"/>
      <c r="H38" s="24" t="str">
        <f aca="true">IF(B38="","",MAX(0,B38-TODAY()))</f>
        <v/>
      </c>
      <c r="I38" s="25"/>
    </row>
    <row r="39" customFormat="false" ht="15" hidden="false" customHeight="false" outlineLevel="0" collapsed="false">
      <c r="B39" s="28"/>
      <c r="C39" s="25"/>
      <c r="D39" s="25"/>
      <c r="E39" s="25"/>
      <c r="F39" s="28"/>
      <c r="G39" s="25"/>
      <c r="H39" s="24" t="str">
        <f aca="true">IF(B39="","",MAX(0,B39-TODAY()))</f>
        <v/>
      </c>
      <c r="I39" s="25"/>
    </row>
    <row r="40" customFormat="false" ht="15" hidden="false" customHeight="false" outlineLevel="0" collapsed="false">
      <c r="B40" s="28"/>
      <c r="C40" s="25"/>
      <c r="D40" s="25"/>
      <c r="E40" s="25"/>
      <c r="F40" s="28"/>
      <c r="G40" s="25"/>
      <c r="H40" s="24" t="str">
        <f aca="true">IF(B40="","",MAX(0,B40-TODAY()))</f>
        <v/>
      </c>
      <c r="I40" s="25"/>
    </row>
    <row r="41" customFormat="false" ht="15" hidden="false" customHeight="false" outlineLevel="0" collapsed="false">
      <c r="B41" s="28"/>
      <c r="C41" s="25"/>
      <c r="D41" s="25"/>
      <c r="E41" s="25"/>
      <c r="F41" s="28"/>
      <c r="G41" s="25"/>
      <c r="H41" s="24" t="str">
        <f aca="true">IF(B41="","",MAX(0,B41-TODAY()))</f>
        <v/>
      </c>
      <c r="I41" s="25"/>
    </row>
    <row r="42" customFormat="false" ht="15" hidden="false" customHeight="false" outlineLevel="0" collapsed="false">
      <c r="B42" s="28"/>
      <c r="C42" s="25"/>
      <c r="D42" s="25"/>
      <c r="E42" s="25"/>
      <c r="F42" s="28"/>
      <c r="G42" s="25"/>
      <c r="H42" s="24" t="str">
        <f aca="true">IF(B42="","",MAX(0,B42-TODAY()))</f>
        <v/>
      </c>
      <c r="I42" s="25"/>
    </row>
    <row r="43" customFormat="false" ht="15" hidden="false" customHeight="false" outlineLevel="0" collapsed="false">
      <c r="B43" s="28"/>
      <c r="C43" s="25"/>
      <c r="D43" s="25"/>
      <c r="E43" s="25"/>
      <c r="F43" s="28"/>
      <c r="G43" s="25"/>
      <c r="H43" s="24" t="str">
        <f aca="true">IF(B43="","",MAX(0,B43-TODAY()))</f>
        <v/>
      </c>
      <c r="I43" s="25"/>
    </row>
    <row r="44" customFormat="false" ht="15" hidden="false" customHeight="false" outlineLevel="0" collapsed="false">
      <c r="B44" s="28"/>
      <c r="C44" s="25"/>
      <c r="D44" s="25"/>
      <c r="E44" s="25"/>
      <c r="F44" s="28"/>
      <c r="G44" s="25"/>
      <c r="H44" s="24" t="str">
        <f aca="true">IF(B44="","",MAX(0,B44-TODAY()))</f>
        <v/>
      </c>
      <c r="I44" s="25"/>
    </row>
    <row r="45" customFormat="false" ht="15" hidden="false" customHeight="false" outlineLevel="0" collapsed="false">
      <c r="B45" s="28"/>
      <c r="C45" s="25"/>
      <c r="D45" s="25"/>
      <c r="E45" s="25"/>
      <c r="F45" s="28"/>
      <c r="G45" s="25"/>
      <c r="H45" s="24" t="str">
        <f aca="true">IF(B45="","",MAX(0,B45-TODAY()))</f>
        <v/>
      </c>
      <c r="I45" s="25"/>
    </row>
  </sheetData>
  <dataValidations count="2">
    <dataValidation allowBlank="true" errorStyle="stop" operator="between" showDropDown="false" showErrorMessage="false" showInputMessage="false" sqref="E6:E45" type="list">
      <formula1>"Hard,Clay,Grass,Indoor"</formula1>
      <formula2>0</formula2>
    </dataValidation>
    <dataValidation allowBlank="true" errorStyle="stop" operator="between" showDropDown="false" showErrorMessage="false" showInputMessage="false" sqref="G6:G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2026-10-26T11:22:08Z</dcterms:created>
  <dc:creator>openpyxl</dc:creator>
  <dc:description/>
  <dc:language>en-US</dc:language>
  <cp:lastModifiedBy/>
  <dcterms:modified xsi:type="dcterms:W3CDTF">2026-10-26T11:22:11Z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